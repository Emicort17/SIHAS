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  <sheet state="visible" name="Cronología 1" sheetId="2" r:id="rId5"/>
    <sheet state="visible" name="Resumen" sheetId="3" r:id="rId6"/>
    <sheet state="visible" name="Presupuesto consolidado" sheetId="4" r:id="rId7"/>
    <sheet state="visible" name="Presupuesto Detallado" sheetId="5" r:id="rId8"/>
    <sheet state="visible" name="Riesgos Identificados" sheetId="6" r:id="rId9"/>
  </sheets>
  <definedNames>
    <definedName hidden="1" localSheetId="5" name="_xlnm._FilterDatabase">'Riesgos Identificados'!$A$1:$E$11</definedName>
  </definedNames>
  <calcPr/>
</workbook>
</file>

<file path=xl/sharedStrings.xml><?xml version="1.0" encoding="utf-8"?>
<sst xmlns="http://schemas.openxmlformats.org/spreadsheetml/2006/main" count="249" uniqueCount="131">
  <si>
    <t>-</t>
  </si>
  <si>
    <t>EDT</t>
  </si>
  <si>
    <t>Fase</t>
  </si>
  <si>
    <t>Tarea</t>
  </si>
  <si>
    <t>Dias Plan</t>
  </si>
  <si>
    <t>Fecha Inicio Plan</t>
  </si>
  <si>
    <t>Fecha Final Plan</t>
  </si>
  <si>
    <t>% Avance Plan</t>
  </si>
  <si>
    <t>% Avance Real</t>
  </si>
  <si>
    <t>Status</t>
  </si>
  <si>
    <t>Diagrama de Grantt por Fase (en semanas)</t>
  </si>
  <si>
    <t>Análisis</t>
  </si>
  <si>
    <t>Identificación de Requerimientos Funcionales y No Funcionales</t>
  </si>
  <si>
    <t>Documento Formal de Requerimientos</t>
  </si>
  <si>
    <t>Acta de Constitución</t>
  </si>
  <si>
    <t>Estructura del Desgloce de Trabajo</t>
  </si>
  <si>
    <t>Mapa de Interesados</t>
  </si>
  <si>
    <t>Diseño</t>
  </si>
  <si>
    <t>Cronograma</t>
  </si>
  <si>
    <t>Ejecución</t>
  </si>
  <si>
    <t>Diagrama de Clases</t>
  </si>
  <si>
    <t>Liberación</t>
  </si>
  <si>
    <t>Diseño de pantallas moviles</t>
  </si>
  <si>
    <t>Pruebas</t>
  </si>
  <si>
    <t>2.2.1</t>
  </si>
  <si>
    <t>Móvil - Inicio de sesión</t>
  </si>
  <si>
    <t>Fecha</t>
  </si>
  <si>
    <t>2.2.2</t>
  </si>
  <si>
    <t>Móvil - Gestión de perfil</t>
  </si>
  <si>
    <t>2.2.3</t>
  </si>
  <si>
    <t>Móvil - Registro de Usuario</t>
  </si>
  <si>
    <t>2.2.4</t>
  </si>
  <si>
    <t>Móvil - Módulo del Perfil de Usuario</t>
  </si>
  <si>
    <t>2.2.5</t>
  </si>
  <si>
    <t xml:space="preserve">Móvil - Pantalla Principal </t>
  </si>
  <si>
    <t>2.2.6</t>
  </si>
  <si>
    <t>Móvil - Módulo de Alimentación</t>
  </si>
  <si>
    <t>2.2.7</t>
  </si>
  <si>
    <t>Móvil - Módulo de Sueño</t>
  </si>
  <si>
    <t>2.2.8</t>
  </si>
  <si>
    <t>Móvil - Módulo de Entrenamiento</t>
  </si>
  <si>
    <t>2.2.9</t>
  </si>
  <si>
    <t>Móvil - Módulo de Pacientes</t>
  </si>
  <si>
    <t>2.2.10</t>
  </si>
  <si>
    <t>Móvil - Restablecer Contraseña</t>
  </si>
  <si>
    <t>2.2.11</t>
  </si>
  <si>
    <t>Móvil - Módulo de Notificaciones</t>
  </si>
  <si>
    <t>2.2.12</t>
  </si>
  <si>
    <t>Móvil - Corrección de Diseños de Pantallas</t>
  </si>
  <si>
    <t>3.1</t>
  </si>
  <si>
    <t>Back-End-Realización de base de datos con JPA</t>
  </si>
  <si>
    <t>3.1.1</t>
  </si>
  <si>
    <t>3.1.2</t>
  </si>
  <si>
    <t>3.1.3</t>
  </si>
  <si>
    <t>3.1.4</t>
  </si>
  <si>
    <t>3.1.5</t>
  </si>
  <si>
    <t>3.1.6</t>
  </si>
  <si>
    <t>3.1.7</t>
  </si>
  <si>
    <t>3.1.8</t>
  </si>
  <si>
    <t>3.1.9</t>
  </si>
  <si>
    <t>3.1.10</t>
  </si>
  <si>
    <t>3.1.11</t>
  </si>
  <si>
    <t>4.1</t>
  </si>
  <si>
    <t>Gestión de Usuarios</t>
  </si>
  <si>
    <t>4.2</t>
  </si>
  <si>
    <t>Gestión de Horarios de Alimentos</t>
  </si>
  <si>
    <t>4.3</t>
  </si>
  <si>
    <t>Gestión de Alimentos</t>
  </si>
  <si>
    <t>4.4</t>
  </si>
  <si>
    <t>Gestion de Horarios de sueño</t>
  </si>
  <si>
    <t>4.5</t>
  </si>
  <si>
    <t>Gestión de Ejercicio</t>
  </si>
  <si>
    <t>4.6</t>
  </si>
  <si>
    <t>Gestión de Notificaciones</t>
  </si>
  <si>
    <t>5.1</t>
  </si>
  <si>
    <t>Aplicacion Móvil</t>
  </si>
  <si>
    <t>5.2</t>
  </si>
  <si>
    <t>Documentación</t>
  </si>
  <si>
    <t>5.3</t>
  </si>
  <si>
    <t>Diseño de pantallas</t>
  </si>
  <si>
    <t>FechaStatus</t>
  </si>
  <si>
    <t>DuraciónPlan</t>
  </si>
  <si>
    <t>Factor Porcentual de Avance</t>
  </si>
  <si>
    <t>Dias Transcurridos</t>
  </si>
  <si>
    <t>Dias Faltantes</t>
  </si>
  <si>
    <t>Costo estimado (MXN)</t>
  </si>
  <si>
    <t>Análisis de Requerimientos</t>
  </si>
  <si>
    <t>Diseño de Interfaz</t>
  </si>
  <si>
    <t>Desarrollo (Back-End /Front-End)</t>
  </si>
  <si>
    <t>Pruebas y validación</t>
  </si>
  <si>
    <t>Documentacion</t>
  </si>
  <si>
    <t>Contingencia(15%)</t>
  </si>
  <si>
    <t>Total estimado del proyecto</t>
  </si>
  <si>
    <t>Tarifa($MXN)</t>
  </si>
  <si>
    <t>Duración(hr)</t>
  </si>
  <si>
    <t>Subtotal</t>
  </si>
  <si>
    <t>Pruebas - Gestión de Usuarios</t>
  </si>
  <si>
    <t>Pruebas - Gestión de Horarios de Alimentos</t>
  </si>
  <si>
    <t>Pruebas - Gestión de Alimentos</t>
  </si>
  <si>
    <t>Pruebas - Gestion de Horarios de sueño</t>
  </si>
  <si>
    <t>Pruebas - Gestión de Ejercicio</t>
  </si>
  <si>
    <t>Documentacion Técnica</t>
  </si>
  <si>
    <t>Total</t>
  </si>
  <si>
    <t>Total completo</t>
  </si>
  <si>
    <t>Riesgo</t>
  </si>
  <si>
    <t>Probabilidad</t>
  </si>
  <si>
    <t>Impacto</t>
  </si>
  <si>
    <t>Respuesta</t>
  </si>
  <si>
    <t>Responsable</t>
  </si>
  <si>
    <t>Fallo en el despliegue por mala configuración(Backend)</t>
  </si>
  <si>
    <t>Alta</t>
  </si>
  <si>
    <t>Mitigar</t>
  </si>
  <si>
    <t>Dev-Back</t>
  </si>
  <si>
    <t>Fallo en el despliegue por mala configuración(Frontend)</t>
  </si>
  <si>
    <t>Dev-front</t>
  </si>
  <si>
    <t>Vulnerabilidad por falta de validaciones</t>
  </si>
  <si>
    <t>Alto</t>
  </si>
  <si>
    <t>Aceptar</t>
  </si>
  <si>
    <t>Cliente / Líder</t>
  </si>
  <si>
    <t>Bug crítico en el código</t>
  </si>
  <si>
    <t>Media</t>
  </si>
  <si>
    <t>Transferir</t>
  </si>
  <si>
    <t>Equipo de desarrollo</t>
  </si>
  <si>
    <t>Conflictos de merge en el repositorio</t>
  </si>
  <si>
    <t>Evitar</t>
  </si>
  <si>
    <t>Problemas en el envío de correos electrónicos para recuperación de cuenta</t>
  </si>
  <si>
    <t>Pérdida de datos por error humano o fallo de sistema</t>
  </si>
  <si>
    <t>Cambios frecuentes en los requerimientos</t>
  </si>
  <si>
    <t>Baja participación de usuarios en pruebas</t>
  </si>
  <si>
    <t>Baja</t>
  </si>
  <si>
    <t>Dificultades técnicas con integración de gráficos en 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</si>
</sst>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/M/YYYY"/>
    <numFmt numFmtId="165" formatCode="d\.m"/>
    <numFmt numFmtId="166" formatCode="d/m/yyyy"/>
    <numFmt numFmtId="167" formatCode="dd/mm/yyyy"/>
    <numFmt numFmtId="168" formatCode="&quot;$&quot;#,##0.00"/>
  </numFmts>
  <fonts count="17">
    <font>
      <sz val="11.0"/>
      <color theme="1"/>
      <name val="Georgia"/>
      <scheme val="minor"/>
    </font>
    <font>
      <b/>
      <sz val="14.0"/>
      <color theme="1"/>
      <name val="Calibri"/>
    </font>
    <font>
      <sz val="14.0"/>
      <color theme="1"/>
      <name val="Calibri"/>
    </font>
    <font>
      <sz val="14.0"/>
      <color theme="0"/>
      <name val="Calibri"/>
    </font>
    <font/>
    <font>
      <sz val="11.0"/>
      <color theme="1"/>
      <name val="Calibri"/>
    </font>
    <font>
      <b/>
      <sz val="11.0"/>
      <color theme="1"/>
      <name val="Calibri"/>
    </font>
    <font>
      <color theme="1"/>
      <name val="Georgia"/>
      <scheme val="minor"/>
    </font>
    <font>
      <sz val="11.0"/>
      <color rgb="FF000000"/>
      <name val="Calibri"/>
    </font>
    <font>
      <sz val="11.0"/>
      <color rgb="FF585858"/>
      <name val="Calibri"/>
    </font>
    <font>
      <b/>
      <sz val="14.0"/>
      <color rgb="FF8DB3E2"/>
      <name val="Calibri"/>
    </font>
    <font>
      <b/>
      <sz val="12.0"/>
      <color rgb="FFFF0000"/>
      <name val="Calibri"/>
    </font>
    <font>
      <b/>
      <sz val="12.0"/>
      <color theme="1"/>
      <name val="Calibri"/>
    </font>
    <font>
      <color theme="1"/>
      <name val="Arial"/>
    </font>
    <font>
      <color rgb="FFFFFFFF"/>
      <name val="Arial"/>
    </font>
    <font>
      <b/>
      <color rgb="FFFFFFFF"/>
      <name val="Georgia"/>
      <scheme val="minor"/>
    </font>
    <font>
      <b/>
      <color theme="1"/>
      <name val="Georgia"/>
      <scheme val="minor"/>
    </font>
  </fonts>
  <fills count="18">
    <fill>
      <patternFill patternType="none"/>
    </fill>
    <fill>
      <patternFill patternType="lightGray"/>
    </fill>
    <fill>
      <patternFill patternType="solid">
        <fgColor rgb="FFB8CCE4"/>
        <bgColor rgb="FFB8CCE4"/>
      </patternFill>
    </fill>
    <fill>
      <patternFill patternType="solid">
        <fgColor rgb="FF8DB3E2"/>
        <bgColor rgb="FF8DB3E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rgb="FF0070C0"/>
        <bgColor rgb="FF0070C0"/>
      </patternFill>
    </fill>
    <fill>
      <patternFill patternType="solid">
        <fgColor rgb="FFBFE1F6"/>
        <bgColor rgb="FFBFE1F6"/>
      </patternFill>
    </fill>
    <fill>
      <patternFill patternType="solid">
        <fgColor rgb="FFFFFFFF"/>
        <bgColor rgb="FFFFFFFF"/>
      </patternFill>
    </fill>
    <fill>
      <patternFill patternType="solid">
        <fgColor rgb="FFFFE5A0"/>
        <bgColor rgb="FFFFE5A0"/>
      </patternFill>
    </fill>
    <fill>
      <patternFill patternType="solid">
        <fgColor rgb="FFE6CFF2"/>
        <bgColor rgb="FFE6CFF2"/>
      </patternFill>
    </fill>
    <fill>
      <patternFill patternType="solid">
        <fgColor rgb="FFC6DBE1"/>
        <bgColor rgb="FFC6DBE1"/>
      </patternFill>
    </fill>
    <fill>
      <patternFill patternType="solid">
        <fgColor rgb="FFFFC8AA"/>
        <bgColor rgb="FFFFC8AA"/>
      </patternFill>
    </fill>
    <fill>
      <patternFill patternType="solid">
        <fgColor rgb="FFA5A5A5"/>
        <bgColor rgb="FFA5A5A5"/>
      </patternFill>
    </fill>
    <fill>
      <patternFill patternType="solid">
        <fgColor rgb="FFCDD9D4"/>
        <bgColor rgb="FFCDD9D4"/>
      </patternFill>
    </fill>
    <fill>
      <patternFill patternType="solid">
        <fgColor rgb="FF356854"/>
        <bgColor rgb="FF356854"/>
      </patternFill>
    </fill>
    <fill>
      <patternFill patternType="solid">
        <fgColor theme="5"/>
        <bgColor theme="5"/>
      </patternFill>
    </fill>
  </fills>
  <borders count="26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CDD9D4"/>
      </right>
      <top>
        <color rgb="FF284E3F"/>
      </top>
      <bottom style="thin">
        <color rgb="FF284E3F"/>
      </bottom>
    </border>
    <border>
      <left style="thin">
        <color rgb="FFCDD9D4"/>
      </left>
      <right style="thin">
        <color rgb="FF284E3F"/>
      </right>
      <top>
        <color rgb="FF284E3F"/>
      </top>
      <bottom style="thin">
        <color rgb="FF284E3F"/>
      </bottom>
    </border>
  </borders>
  <cellStyleXfs count="1">
    <xf borderId="0" fillId="0" fontId="0" numFmtId="0" applyAlignment="1" applyFont="1"/>
  </cellStyleXfs>
  <cellXfs count="10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right" readingOrder="0"/>
    </xf>
    <xf borderId="2" fillId="2" fontId="1" numFmtId="0" xfId="0" applyAlignment="1" applyBorder="1" applyFont="1">
      <alignment horizontal="center"/>
    </xf>
    <xf borderId="2" fillId="3" fontId="1" numFmtId="0" xfId="0" applyAlignment="1" applyBorder="1" applyFill="1" applyFont="1">
      <alignment horizontal="center"/>
    </xf>
    <xf borderId="3" fillId="4" fontId="1" numFmtId="0" xfId="0" applyAlignment="1" applyBorder="1" applyFill="1" applyFont="1">
      <alignment horizontal="center"/>
    </xf>
    <xf borderId="2" fillId="5" fontId="1" numFmtId="164" xfId="0" applyAlignment="1" applyBorder="1" applyFill="1" applyFont="1" applyNumberFormat="1">
      <alignment horizontal="center"/>
    </xf>
    <xf borderId="4" fillId="4" fontId="1" numFmtId="0" xfId="0" applyAlignment="1" applyBorder="1" applyFont="1">
      <alignment horizontal="center"/>
    </xf>
    <xf borderId="2" fillId="5" fontId="1" numFmtId="0" xfId="0" applyAlignment="1" applyBorder="1" applyFont="1">
      <alignment horizontal="center"/>
    </xf>
    <xf borderId="3" fillId="6" fontId="1" numFmtId="0" xfId="0" applyAlignment="1" applyBorder="1" applyFill="1" applyFont="1">
      <alignment horizontal="center"/>
    </xf>
    <xf borderId="5" fillId="0" fontId="2" numFmtId="0" xfId="0" applyBorder="1" applyFont="1"/>
    <xf borderId="6" fillId="7" fontId="3" numFmtId="0" xfId="0" applyAlignment="1" applyBorder="1" applyFill="1" applyFont="1">
      <alignment horizontal="center" readingOrder="0"/>
    </xf>
    <xf borderId="7" fillId="0" fontId="4" numFmtId="0" xfId="0" applyBorder="1" applyFont="1"/>
    <xf borderId="8" fillId="0" fontId="4" numFmtId="0" xfId="0" applyBorder="1" applyFont="1"/>
    <xf borderId="0" fillId="0" fontId="5" numFmtId="0" xfId="0" applyAlignment="1" applyFont="1">
      <alignment horizontal="right"/>
    </xf>
    <xf borderId="0" fillId="0" fontId="5" numFmtId="165" xfId="0" applyAlignment="1" applyFont="1" applyNumberFormat="1">
      <alignment horizontal="center" readingOrder="0"/>
    </xf>
    <xf borderId="0" fillId="8" fontId="5" numFmtId="0" xfId="0" applyAlignment="1" applyFill="1" applyFont="1">
      <alignment horizontal="center"/>
    </xf>
    <xf borderId="0" fillId="0" fontId="5" numFmtId="0" xfId="0" applyAlignment="1" applyFont="1">
      <alignment horizontal="left" readingOrder="0"/>
    </xf>
    <xf borderId="9" fillId="0" fontId="5" numFmtId="0" xfId="0" applyAlignment="1" applyBorder="1" applyFont="1">
      <alignment horizontal="center"/>
    </xf>
    <xf borderId="10" fillId="0" fontId="6" numFmtId="166" xfId="0" applyAlignment="1" applyBorder="1" applyFont="1" applyNumberFormat="1">
      <alignment horizontal="center" readingOrder="0"/>
    </xf>
    <xf borderId="0" fillId="0" fontId="5" numFmtId="166" xfId="0" applyAlignment="1" applyFont="1" applyNumberFormat="1">
      <alignment horizontal="center" readingOrder="0"/>
    </xf>
    <xf borderId="11" fillId="0" fontId="5" numFmtId="9" xfId="0" applyAlignment="1" applyBorder="1" applyFont="1" applyNumberFormat="1">
      <alignment horizontal="center"/>
    </xf>
    <xf borderId="0" fillId="0" fontId="5" numFmtId="9" xfId="0" applyAlignment="1" applyFont="1" applyNumberFormat="1">
      <alignment horizontal="center"/>
    </xf>
    <xf borderId="9" fillId="0" fontId="6" numFmtId="0" xfId="0" applyAlignment="1" applyBorder="1" applyFont="1">
      <alignment horizontal="center"/>
    </xf>
    <xf borderId="0" fillId="0" fontId="7" numFmtId="0" xfId="0" applyAlignment="1" applyFont="1">
      <alignment horizontal="center" readingOrder="0" shrinkToFit="0" textRotation="255" vertical="center" wrapText="0"/>
    </xf>
    <xf borderId="12" fillId="0" fontId="7" numFmtId="0" xfId="0" applyBorder="1" applyFont="1"/>
    <xf borderId="12" fillId="0" fontId="7" numFmtId="167" xfId="0" applyAlignment="1" applyBorder="1" applyFont="1" applyNumberFormat="1">
      <alignment readingOrder="0" shrinkToFit="0" textRotation="45" wrapText="0"/>
    </xf>
    <xf borderId="0" fillId="0" fontId="5" numFmtId="0" xfId="0" applyAlignment="1" applyFont="1">
      <alignment horizontal="right" readingOrder="0"/>
    </xf>
    <xf borderId="0" fillId="8" fontId="5" numFmtId="0" xfId="0" applyAlignment="1" applyFont="1">
      <alignment horizontal="center" readingOrder="0"/>
    </xf>
    <xf borderId="0" fillId="9" fontId="8" numFmtId="166" xfId="0" applyAlignment="1" applyFill="1" applyFont="1" applyNumberFormat="1">
      <alignment horizontal="center" readingOrder="0"/>
    </xf>
    <xf borderId="13" fillId="0" fontId="4" numFmtId="0" xfId="0" applyBorder="1" applyFont="1"/>
    <xf borderId="14" fillId="0" fontId="4" numFmtId="0" xfId="0" applyBorder="1" applyFont="1"/>
    <xf borderId="15" fillId="8" fontId="7" numFmtId="0" xfId="0" applyAlignment="1" applyBorder="1" applyFont="1">
      <alignment readingOrder="0"/>
    </xf>
    <xf borderId="15" fillId="8" fontId="7" numFmtId="0" xfId="0" applyBorder="1" applyFont="1"/>
    <xf borderId="15" fillId="0" fontId="7" numFmtId="0" xfId="0" applyBorder="1" applyFont="1"/>
    <xf borderId="15" fillId="10" fontId="7" numFmtId="0" xfId="0" applyAlignment="1" applyBorder="1" applyFill="1" applyFont="1">
      <alignment readingOrder="0"/>
    </xf>
    <xf borderId="15" fillId="10" fontId="7" numFmtId="0" xfId="0" applyBorder="1" applyFont="1"/>
    <xf borderId="15" fillId="11" fontId="7" numFmtId="0" xfId="0" applyAlignment="1" applyBorder="1" applyFill="1" applyFont="1">
      <alignment readingOrder="0"/>
    </xf>
    <xf borderId="15" fillId="11" fontId="7" numFmtId="0" xfId="0" applyBorder="1" applyFont="1"/>
    <xf borderId="0" fillId="10" fontId="5" numFmtId="0" xfId="0" applyAlignment="1" applyFont="1">
      <alignment horizontal="center" readingOrder="0"/>
    </xf>
    <xf borderId="15" fillId="12" fontId="7" numFmtId="0" xfId="0" applyAlignment="1" applyBorder="1" applyFill="1" applyFont="1">
      <alignment readingOrder="0"/>
    </xf>
    <xf borderId="15" fillId="12" fontId="7" numFmtId="0" xfId="0" applyBorder="1" applyFont="1"/>
    <xf borderId="0" fillId="10" fontId="5" numFmtId="0" xfId="0" applyAlignment="1" applyFont="1">
      <alignment horizontal="center"/>
    </xf>
    <xf borderId="15" fillId="13" fontId="7" numFmtId="0" xfId="0" applyAlignment="1" applyBorder="1" applyFill="1" applyFont="1">
      <alignment horizontal="left" readingOrder="0"/>
    </xf>
    <xf borderId="15" fillId="13" fontId="7" numFmtId="0" xfId="0" applyBorder="1" applyFont="1"/>
    <xf borderId="0" fillId="0" fontId="5" numFmtId="49" xfId="0" applyAlignment="1" applyFont="1" applyNumberFormat="1">
      <alignment horizontal="center" readingOrder="0" vertical="bottom"/>
    </xf>
    <xf borderId="11" fillId="0" fontId="5" numFmtId="0" xfId="0" applyAlignment="1" applyBorder="1" applyFont="1">
      <alignment readingOrder="0" vertical="bottom"/>
    </xf>
    <xf borderId="0" fillId="0" fontId="5" numFmtId="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shrinkToFit="0" wrapText="1"/>
    </xf>
    <xf borderId="0" fillId="11" fontId="5" numFmtId="0" xfId="0" applyAlignment="1" applyFont="1">
      <alignment horizontal="center" readingOrder="0"/>
    </xf>
    <xf borderId="0" fillId="0" fontId="9" numFmtId="9" xfId="0" applyAlignment="1" applyFont="1" applyNumberFormat="1">
      <alignment horizontal="center" readingOrder="0"/>
    </xf>
    <xf borderId="0" fillId="0" fontId="5" numFmtId="49" xfId="0" applyAlignment="1" applyFont="1" applyNumberFormat="1">
      <alignment horizontal="center" readingOrder="0"/>
    </xf>
    <xf borderId="0" fillId="12" fontId="5" numFmtId="0" xfId="0" applyAlignment="1" applyFont="1">
      <alignment horizontal="center" readingOrder="0"/>
    </xf>
    <xf borderId="0" fillId="0" fontId="5" numFmtId="0" xfId="0" applyAlignment="1" applyFont="1">
      <alignment readingOrder="0" vertical="bottom"/>
    </xf>
    <xf borderId="0" fillId="13" fontId="5" numFmtId="0" xfId="0" applyAlignment="1" applyFont="1">
      <alignment horizontal="center" readingOrder="0"/>
    </xf>
    <xf borderId="0" fillId="9" fontId="8" numFmtId="0" xfId="0" applyAlignment="1" applyFont="1">
      <alignment horizontal="left" readingOrder="0"/>
    </xf>
    <xf borderId="0" fillId="0" fontId="5" numFmtId="0" xfId="0" applyAlignment="1" applyFont="1">
      <alignment horizontal="center" readingOrder="0"/>
    </xf>
    <xf borderId="0" fillId="0" fontId="5" numFmtId="164" xfId="0" applyAlignment="1" applyFont="1" applyNumberFormat="1">
      <alignment horizontal="center" readingOrder="0"/>
    </xf>
    <xf borderId="0" fillId="0" fontId="5" numFmtId="0" xfId="0" applyFont="1"/>
    <xf borderId="0" fillId="0" fontId="5" numFmtId="0" xfId="0" applyAlignment="1" applyFont="1">
      <alignment horizontal="left"/>
    </xf>
    <xf borderId="0" fillId="0" fontId="5" numFmtId="164" xfId="0" applyAlignment="1" applyFont="1" applyNumberFormat="1">
      <alignment horizontal="center"/>
    </xf>
    <xf borderId="11" fillId="0" fontId="5" numFmtId="0" xfId="0" applyBorder="1" applyFont="1"/>
    <xf borderId="0" fillId="0" fontId="5" numFmtId="0" xfId="0" applyAlignment="1" applyFont="1">
      <alignment horizontal="center"/>
    </xf>
    <xf borderId="0" fillId="0" fontId="7" numFmtId="0" xfId="0" applyFont="1"/>
    <xf borderId="0" fillId="0" fontId="5" numFmtId="164" xfId="0" applyFont="1" applyNumberFormat="1"/>
    <xf borderId="9" fillId="0" fontId="5" numFmtId="0" xfId="0" applyBorder="1" applyFont="1"/>
    <xf borderId="3" fillId="5" fontId="10" numFmtId="0" xfId="0" applyAlignment="1" applyBorder="1" applyFont="1">
      <alignment horizontal="center"/>
    </xf>
    <xf borderId="16" fillId="4" fontId="1" numFmtId="0" xfId="0" applyAlignment="1" applyBorder="1" applyFont="1">
      <alignment horizontal="center"/>
    </xf>
    <xf borderId="17" fillId="4" fontId="1" numFmtId="0" xfId="0" applyAlignment="1" applyBorder="1" applyFont="1">
      <alignment horizontal="center"/>
    </xf>
    <xf borderId="17" fillId="14" fontId="1" numFmtId="0" xfId="0" applyAlignment="1" applyBorder="1" applyFill="1" applyFont="1">
      <alignment horizontal="center"/>
    </xf>
    <xf borderId="0" fillId="0" fontId="2" numFmtId="0" xfId="0" applyFont="1"/>
    <xf borderId="18" fillId="0" fontId="11" numFmtId="164" xfId="0" applyAlignment="1" applyBorder="1" applyFont="1" applyNumberFormat="1">
      <alignment horizontal="center" readingOrder="0"/>
    </xf>
    <xf borderId="19" fillId="0" fontId="5" numFmtId="164" xfId="0" applyAlignment="1" applyBorder="1" applyFont="1" applyNumberFormat="1">
      <alignment horizontal="center"/>
    </xf>
    <xf borderId="20" fillId="0" fontId="5" numFmtId="164" xfId="0" applyAlignment="1" applyBorder="1" applyFont="1" applyNumberFormat="1">
      <alignment horizontal="center"/>
    </xf>
    <xf borderId="21" fillId="0" fontId="6" numFmtId="0" xfId="0" applyAlignment="1" applyBorder="1" applyFont="1">
      <alignment horizontal="center"/>
    </xf>
    <xf borderId="21" fillId="0" fontId="12" numFmtId="10" xfId="0" applyAlignment="1" applyBorder="1" applyFont="1" applyNumberFormat="1">
      <alignment horizontal="center"/>
    </xf>
    <xf borderId="19" fillId="0" fontId="5" numFmtId="1" xfId="0" applyBorder="1" applyFont="1" applyNumberFormat="1"/>
    <xf borderId="20" fillId="0" fontId="5" numFmtId="0" xfId="0" applyBorder="1" applyFont="1"/>
    <xf borderId="0" fillId="0" fontId="6" numFmtId="166" xfId="0" applyFont="1" applyNumberFormat="1"/>
    <xf borderId="0" fillId="0" fontId="5" numFmtId="166" xfId="0" applyFont="1" applyNumberFormat="1"/>
    <xf borderId="0" fillId="0" fontId="6" numFmtId="0" xfId="0" applyFont="1"/>
    <xf borderId="22" fillId="0" fontId="13" numFmtId="0" xfId="0" applyAlignment="1" applyBorder="1" applyFont="1">
      <alignment horizontal="left" readingOrder="0" shrinkToFit="0" vertical="bottom" wrapText="0"/>
    </xf>
    <xf borderId="23" fillId="0" fontId="13" numFmtId="0" xfId="0" applyAlignment="1" applyBorder="1" applyFont="1">
      <alignment horizontal="left" readingOrder="0" shrinkToFit="0" vertical="bottom" wrapText="0"/>
    </xf>
    <xf borderId="0" fillId="0" fontId="13" numFmtId="0" xfId="0" applyAlignment="1" applyFont="1">
      <alignment vertical="bottom"/>
    </xf>
    <xf borderId="15" fillId="0" fontId="5" numFmtId="0" xfId="0" applyAlignment="1" applyBorder="1" applyFont="1">
      <alignment readingOrder="0" shrinkToFit="0" vertical="bottom" wrapText="0"/>
    </xf>
    <xf borderId="15" fillId="0" fontId="13" numFmtId="168" xfId="0" applyAlignment="1" applyBorder="1" applyFont="1" applyNumberFormat="1">
      <alignment shrinkToFit="0" vertical="bottom" wrapText="0"/>
    </xf>
    <xf borderId="15" fillId="0" fontId="13" numFmtId="168" xfId="0" applyAlignment="1" applyBorder="1" applyFont="1" applyNumberFormat="1">
      <alignment readingOrder="0" shrinkToFit="0" vertical="bottom" wrapText="0"/>
    </xf>
    <xf borderId="15" fillId="0" fontId="5" numFmtId="0" xfId="0" applyAlignment="1" applyBorder="1" applyFont="1">
      <alignment readingOrder="0" shrinkToFit="0" vertical="center" wrapText="0"/>
    </xf>
    <xf borderId="15" fillId="0" fontId="13" numFmtId="168" xfId="0" applyAlignment="1" applyBorder="1" applyFont="1" applyNumberFormat="1">
      <alignment readingOrder="0" shrinkToFit="0" vertical="center" wrapText="0"/>
    </xf>
    <xf borderId="24" fillId="15" fontId="7" numFmtId="0" xfId="0" applyAlignment="1" applyBorder="1" applyFill="1" applyFont="1">
      <alignment shrinkToFit="0" vertical="center" wrapText="0"/>
    </xf>
    <xf borderId="25" fillId="15" fontId="7" numFmtId="0" xfId="0" applyAlignment="1" applyBorder="1" applyFont="1">
      <alignment shrinkToFit="0" vertical="center" wrapText="0"/>
    </xf>
    <xf borderId="0" fillId="0" fontId="13" numFmtId="2" xfId="0" applyAlignment="1" applyFont="1" applyNumberFormat="1">
      <alignment vertical="bottom"/>
    </xf>
    <xf borderId="0" fillId="0" fontId="13" numFmtId="2" xfId="0" applyAlignment="1" applyFont="1" applyNumberFormat="1">
      <alignment horizontal="center" vertical="bottom"/>
    </xf>
    <xf borderId="0" fillId="16" fontId="14" numFmtId="0" xfId="0" applyAlignment="1" applyFill="1" applyFont="1">
      <alignment horizontal="center" vertical="center"/>
    </xf>
    <xf borderId="0" fillId="16" fontId="14" numFmtId="0" xfId="0" applyAlignment="1" applyFont="1">
      <alignment horizontal="center" vertical="center"/>
    </xf>
    <xf borderId="15" fillId="9" fontId="5" numFmtId="0" xfId="0" applyAlignment="1" applyBorder="1" applyFont="1">
      <alignment vertical="bottom"/>
    </xf>
    <xf borderId="15" fillId="9" fontId="13" numFmtId="4" xfId="0" applyAlignment="1" applyBorder="1" applyFont="1" applyNumberFormat="1">
      <alignment readingOrder="0" vertical="bottom"/>
    </xf>
    <xf borderId="15" fillId="9" fontId="13" numFmtId="0" xfId="0" applyAlignment="1" applyBorder="1" applyFont="1">
      <alignment readingOrder="0" vertical="bottom"/>
    </xf>
    <xf borderId="15" fillId="9" fontId="13" numFmtId="4" xfId="0" applyAlignment="1" applyBorder="1" applyFont="1" applyNumberFormat="1">
      <alignment horizontal="center" vertical="bottom"/>
    </xf>
    <xf borderId="0" fillId="0" fontId="7" numFmtId="4" xfId="0" applyFont="1" applyNumberFormat="1"/>
    <xf borderId="15" fillId="9" fontId="5" numFmtId="0" xfId="0" applyAlignment="1" applyBorder="1" applyFont="1">
      <alignment readingOrder="0" vertical="bottom"/>
    </xf>
    <xf borderId="0" fillId="16" fontId="14" numFmtId="0" xfId="0" applyAlignment="1" applyFont="1">
      <alignment vertical="bottom"/>
    </xf>
    <xf borderId="0" fillId="16" fontId="14" numFmtId="4" xfId="0" applyAlignment="1" applyFont="1" applyNumberFormat="1">
      <alignment horizontal="center" vertical="bottom"/>
    </xf>
    <xf borderId="0" fillId="16" fontId="14" numFmtId="0" xfId="0" applyAlignment="1" applyFont="1">
      <alignment readingOrder="0" vertical="bottom"/>
    </xf>
    <xf borderId="0" fillId="17" fontId="15" numFmtId="0" xfId="0" applyAlignment="1" applyFill="1" applyFont="1">
      <alignment horizontal="center" readingOrder="0" vertical="center"/>
    </xf>
    <xf borderId="0" fillId="9" fontId="7" numFmtId="0" xfId="0" applyAlignment="1" applyFont="1">
      <alignment readingOrder="0"/>
    </xf>
    <xf borderId="0" fillId="0" fontId="16" numFmtId="0" xfId="0" applyAlignment="1" applyFont="1">
      <alignment horizontal="center" readingOrder="0"/>
    </xf>
  </cellXfs>
  <cellStyles count="1">
    <cellStyle xfId="0" name="Normal" builtinId="0"/>
  </cellStyles>
  <dxfs count="16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8DB3E2"/>
          <bgColor rgb="FF8DB3E2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E36C09"/>
          <bgColor rgb="FFE36C09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DD9D4"/>
          <bgColor rgb="FFCDD9D4"/>
        </patternFill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</dxfs>
  <tableStyles count="3">
    <tableStyle count="4" pivot="0" name="Presupuesto consolidado-style">
      <tableStyleElement dxfId="7" type="headerRow"/>
      <tableStyleElement dxfId="8" type="firstRowStripe"/>
      <tableStyleElement dxfId="9" type="secondRowStripe"/>
      <tableStyleElement dxfId="10" type="totalRow"/>
    </tableStyle>
    <tableStyle count="3" pivot="0" name="Presupuesto Detallado-style">
      <tableStyleElement dxfId="11" type="headerRow"/>
      <tableStyleElement dxfId="12" type="firstRowStripe"/>
      <tableStyleElement dxfId="13" type="secondRowStripe"/>
    </tableStyle>
    <tableStyle count="3" pivot="0" name="Presupuesto Detallado-style 2">
      <tableStyleElement dxfId="14" type="headerRow"/>
      <tableStyleElement dxfId="15" type="firstRowStripe"/>
      <tableStyleElement dxfId="1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tx>
            <c:v>% Avance Plan</c:v>
          </c:tx>
          <c:spPr>
            <a:solidFill>
              <a:srgbClr val="00B0F0"/>
            </a:solidFill>
            <a:ln cmpd="sng">
              <a:solidFill>
                <a:srgbClr val="000000"/>
              </a:solidFill>
            </a:ln>
          </c:spPr>
          <c:val>
            <c:numRef>
              <c:f>Principal!$H$2:$H$27</c:f>
              <c:numCache/>
            </c:numRef>
          </c:val>
        </c:ser>
        <c:axId val="1956351612"/>
        <c:axId val="1180125135"/>
      </c:barChart>
      <c:lineChart>
        <c:varyColors val="0"/>
        <c:ser>
          <c:idx val="1"/>
          <c:order val="1"/>
          <c:tx>
            <c:v>% Avance Real</c:v>
          </c:tx>
          <c:spPr>
            <a:ln cmpd="sng" w="28575">
              <a:solidFill>
                <a:srgbClr val="FFFF00">
                  <a:alpha val="100000"/>
                </a:srgbClr>
              </a:solidFill>
            </a:ln>
          </c:spPr>
          <c:marker>
            <c:symbol val="none"/>
          </c:marker>
          <c:val>
            <c:numRef>
              <c:f>Principal!$I$2:$I$27</c:f>
              <c:numCache/>
            </c:numRef>
          </c:val>
          <c:smooth val="0"/>
        </c:ser>
        <c:axId val="1956351612"/>
        <c:axId val="1180125135"/>
      </c:lineChart>
      <c:catAx>
        <c:axId val="19563516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585858"/>
                    </a:solidFill>
                    <a:latin typeface="+mn-lt"/>
                  </a:defRPr>
                </a:pPr>
                <a:r>
                  <a:rPr b="0">
                    <a:solidFill>
                      <a:srgbClr val="58585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180125135"/>
      </c:catAx>
      <c:valAx>
        <c:axId val="11801251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585858"/>
                    </a:solidFill>
                    <a:latin typeface="+mn-lt"/>
                  </a:defRPr>
                </a:pPr>
                <a:r>
                  <a:rPr b="0">
                    <a:solidFill>
                      <a:srgbClr val="585858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56351612"/>
      </c:valAx>
    </c:plotArea>
    <c:plotVisOnly val="1"/>
  </c:chart>
  <c:spPr>
    <a:solidFill>
      <a:srgbClr val="B8CCE4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Visualization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436246275" name="Visualization1" title="Visualizació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absolute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504825</xdr:colOff>
      <xdr:row>4</xdr:row>
      <xdr:rowOff>114300</xdr:rowOff>
    </xdr:from>
    <xdr:ext cx="11610975" cy="35718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B9" displayName="Presupuesto_consolidado" name="Presupuesto_consolidado" id="1">
  <tableColumns count="2">
    <tableColumn name="Tarea" id="1"/>
    <tableColumn name="Costo estimado (MXN)" id="2"/>
  </tableColumns>
  <tableStyleInfo name="Presupuesto consolidado-style" showColumnStripes="0" showFirstColumn="1" showLastColumn="1" showRowStripes="1"/>
</table>
</file>

<file path=xl/tables/table2.xml><?xml version="1.0" encoding="utf-8"?>
<table xmlns="http://schemas.openxmlformats.org/spreadsheetml/2006/main" ref="A1:D39" displayName="Table_1" name="Table_1" id="2">
  <tableColumns count="4">
    <tableColumn name="Tarea" id="1"/>
    <tableColumn name="Tarifa($MXN)" id="2"/>
    <tableColumn name="Duración(hr)" id="3"/>
    <tableColumn name="Subtotal" id="4"/>
  </tableColumns>
  <tableStyleInfo name="Presupuesto Detallado-style" showColumnStripes="0" showFirstColumn="1" showLastColumn="1" showRowStripes="1"/>
</table>
</file>

<file path=xl/tables/table3.xml><?xml version="1.0" encoding="utf-8"?>
<table xmlns="http://schemas.openxmlformats.org/spreadsheetml/2006/main" headerRowCount="0" ref="C40:D42" displayName="Table_2" name="Table_2" id="3">
  <tableColumns count="2">
    <tableColumn name="Column1" id="1"/>
    <tableColumn name="Column2" id="2"/>
  </tableColumns>
  <tableStyleInfo name="Presupuesto Detallado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585858"/>
      </a:dk1>
      <a:lt1>
        <a:srgbClr val="F3EEE8"/>
      </a:lt1>
      <a:dk2>
        <a:srgbClr val="585858"/>
      </a:dk2>
      <a:lt2>
        <a:srgbClr val="F3EEE8"/>
      </a:lt2>
      <a:accent1>
        <a:srgbClr val="D4541B"/>
      </a:accent1>
      <a:accent2>
        <a:srgbClr val="005454"/>
      </a:accent2>
      <a:accent3>
        <a:srgbClr val="DE9779"/>
      </a:accent3>
      <a:accent4>
        <a:srgbClr val="895E21"/>
      </a:accent4>
      <a:accent5>
        <a:srgbClr val="819462"/>
      </a:accent5>
      <a:accent6>
        <a:srgbClr val="9BBBAA"/>
      </a:accent6>
      <a:hlink>
        <a:srgbClr val="3960AB"/>
      </a:hlink>
      <a:folHlink>
        <a:srgbClr val="3960AB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0.1" defaultRowHeight="15.0"/>
  <cols>
    <col customWidth="1" min="1" max="1" width="2.2"/>
    <col customWidth="1" min="2" max="2" width="6.1"/>
    <col customWidth="1" min="3" max="3" width="9.9"/>
    <col customWidth="1" min="4" max="4" width="40.6"/>
    <col customWidth="1" min="5" max="5" width="8.1"/>
    <col customWidth="1" min="6" max="6" width="13.3"/>
    <col customWidth="1" min="7" max="7" width="13.6"/>
    <col customWidth="1" min="8" max="8" width="12.4"/>
    <col customWidth="1" min="9" max="9" width="12.5"/>
    <col customWidth="1" min="10" max="10" width="7.4"/>
    <col customWidth="1" min="11" max="11" width="7.5"/>
    <col customWidth="1" min="12" max="12" width="3.9"/>
    <col customWidth="1" min="13" max="13" width="8.3"/>
    <col customWidth="1" min="14" max="25" width="7.5"/>
  </cols>
  <sheetData>
    <row r="1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/>
      <c r="L1" s="9"/>
      <c r="M1" s="10" t="s">
        <v>10</v>
      </c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2"/>
    </row>
    <row r="2">
      <c r="A2" s="13">
        <v>1.0</v>
      </c>
      <c r="B2" s="14">
        <v>45292.0</v>
      </c>
      <c r="C2" s="15" t="s">
        <v>11</v>
      </c>
      <c r="D2" s="16" t="s">
        <v>12</v>
      </c>
      <c r="E2" s="17">
        <f t="shared" ref="E2:E42" si="1">NETWORKDAYS(F2,G2)</f>
        <v>2</v>
      </c>
      <c r="F2" s="18">
        <v>45806.0</v>
      </c>
      <c r="G2" s="19">
        <v>45807.0</v>
      </c>
      <c r="H2" s="20">
        <f>ROUNDUP(IF(E2&gt;0,IF(Resumen!$A$2&gt;G2,100%,IF(Resumen!$A$2&lt;F2,0%,(100%/E2)*(NETWORKDAYS(F2,Resumen!$A$2)))),0%),2)</f>
        <v>1</v>
      </c>
      <c r="I2" s="21">
        <v>1.0</v>
      </c>
      <c r="J2" s="22" t="str">
        <f t="shared" ref="J2:J42" si="2">IF(E2&gt;0,IF(AND(H2=I2,H2=100%),"Terminado",IF(AND(H2=I2,H2&lt;100,H2&gt;0),"Proceso",IF(AND(H2&gt;I2,H2&lt;100,H2&gt;0),"Retrasado","Plan"))),"")</f>
        <v>Terminado</v>
      </c>
      <c r="L2" s="23" t="s">
        <v>2</v>
      </c>
      <c r="M2" s="24"/>
      <c r="N2" s="25">
        <v>45806.0</v>
      </c>
      <c r="O2" s="25">
        <v>45813.0</v>
      </c>
      <c r="P2" s="25">
        <v>45820.0</v>
      </c>
      <c r="Q2" s="25">
        <v>45827.0</v>
      </c>
      <c r="R2" s="25">
        <v>45834.0</v>
      </c>
      <c r="S2" s="25">
        <v>45841.0</v>
      </c>
      <c r="T2" s="25">
        <v>45848.0</v>
      </c>
      <c r="U2" s="25">
        <v>45855.0</v>
      </c>
      <c r="V2" s="25">
        <v>45862.0</v>
      </c>
      <c r="W2" s="25">
        <v>45869.0</v>
      </c>
      <c r="X2" s="25">
        <v>45876.0</v>
      </c>
      <c r="Y2" s="25">
        <v>45883.0</v>
      </c>
    </row>
    <row r="3">
      <c r="A3" s="26">
        <v>2.0</v>
      </c>
      <c r="B3" s="14">
        <v>45689.0</v>
      </c>
      <c r="C3" s="27" t="s">
        <v>11</v>
      </c>
      <c r="D3" s="16" t="s">
        <v>13</v>
      </c>
      <c r="E3" s="17">
        <f t="shared" si="1"/>
        <v>6</v>
      </c>
      <c r="F3" s="28">
        <v>45807.0</v>
      </c>
      <c r="G3" s="28">
        <v>45814.0</v>
      </c>
      <c r="H3" s="20">
        <f>ROUNDUP(IF(E3&gt;0,IF(Resumen!$A$2&gt;G3,100%,IF(Resumen!$A$2&lt;F3,0%,(100%/E3)*(NETWORKDAYS(F3,Resumen!$A$2)))),0%),2)</f>
        <v>1</v>
      </c>
      <c r="I3" s="20">
        <v>1.0</v>
      </c>
      <c r="J3" s="22" t="str">
        <f t="shared" si="2"/>
        <v>Terminado</v>
      </c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</row>
    <row r="4" ht="15.75" customHeight="1">
      <c r="A4" s="26">
        <v>3.0</v>
      </c>
      <c r="B4" s="14">
        <v>45383.0</v>
      </c>
      <c r="C4" s="27" t="s">
        <v>11</v>
      </c>
      <c r="D4" s="16" t="s">
        <v>14</v>
      </c>
      <c r="E4" s="17">
        <f t="shared" si="1"/>
        <v>2</v>
      </c>
      <c r="F4" s="28">
        <v>45826.0</v>
      </c>
      <c r="G4" s="28">
        <v>45827.0</v>
      </c>
      <c r="H4" s="20">
        <f>ROUNDUP(IF(E4&gt;0,IF(Resumen!$A$2&gt;G4,100%,IF(Resumen!$A$2&lt;F4,0%,(100%/E4)*(NETWORKDAYS(F4,Resumen!$A$2)))),0%),2)</f>
        <v>1</v>
      </c>
      <c r="I4" s="21">
        <v>1.0</v>
      </c>
      <c r="J4" s="22" t="str">
        <f t="shared" si="2"/>
        <v>Terminado</v>
      </c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</row>
    <row r="5" ht="15.75" customHeight="1">
      <c r="A5" s="13">
        <v>4.0</v>
      </c>
      <c r="B5" s="14">
        <v>45778.0</v>
      </c>
      <c r="C5" s="27" t="s">
        <v>11</v>
      </c>
      <c r="D5" s="16" t="s">
        <v>15</v>
      </c>
      <c r="E5" s="17">
        <f t="shared" si="1"/>
        <v>3</v>
      </c>
      <c r="F5" s="28">
        <v>45832.0</v>
      </c>
      <c r="G5" s="28">
        <v>45834.0</v>
      </c>
      <c r="H5" s="20">
        <f>ROUNDUP(IF(E5&gt;0,IF(Resumen!$A$2&gt;G5,100%,IF(Resumen!$A$2&lt;F5,0%,(100%/E5)*(NETWORKDAYS(F5,Resumen!$A$2)))),0%),2)</f>
        <v>1</v>
      </c>
      <c r="I5" s="21">
        <v>1.0</v>
      </c>
      <c r="J5" s="22" t="str">
        <f t="shared" si="2"/>
        <v>Terminado</v>
      </c>
      <c r="M5" s="31" t="s">
        <v>11</v>
      </c>
      <c r="N5" s="32"/>
      <c r="O5" s="32"/>
      <c r="P5" s="32"/>
      <c r="Q5" s="32"/>
      <c r="R5" s="32"/>
      <c r="S5" s="33"/>
      <c r="T5" s="33"/>
      <c r="U5" s="33"/>
      <c r="V5" s="33"/>
      <c r="W5" s="33"/>
      <c r="X5" s="33"/>
      <c r="Y5" s="33"/>
    </row>
    <row r="6" ht="15.75" customHeight="1">
      <c r="A6" s="26">
        <v>5.0</v>
      </c>
      <c r="B6" s="14">
        <v>45444.0</v>
      </c>
      <c r="C6" s="27" t="s">
        <v>11</v>
      </c>
      <c r="D6" s="16" t="s">
        <v>16</v>
      </c>
      <c r="E6" s="17">
        <f t="shared" si="1"/>
        <v>3</v>
      </c>
      <c r="F6" s="28">
        <v>45832.0</v>
      </c>
      <c r="G6" s="28">
        <v>45834.0</v>
      </c>
      <c r="H6" s="20">
        <f>ROUNDUP(IF(E6&gt;0,IF(Resumen!$A$2&gt;G6,100%,IF(Resumen!$A$2&lt;F6,0%,(100%/E6)*(NETWORKDAYS(F6,Resumen!$A$2)))),0%),2)</f>
        <v>1</v>
      </c>
      <c r="I6" s="21">
        <v>1.0</v>
      </c>
      <c r="J6" s="22" t="str">
        <f t="shared" si="2"/>
        <v>Terminado</v>
      </c>
      <c r="M6" s="34" t="s">
        <v>17</v>
      </c>
      <c r="N6" s="33"/>
      <c r="O6" s="35"/>
      <c r="P6" s="35"/>
      <c r="Q6" s="35"/>
      <c r="R6" s="35"/>
      <c r="S6" s="33"/>
      <c r="T6" s="33"/>
      <c r="U6" s="33"/>
      <c r="V6" s="33"/>
      <c r="W6" s="33"/>
      <c r="X6" s="33"/>
      <c r="Y6" s="33"/>
    </row>
    <row r="7" ht="15.75" customHeight="1">
      <c r="A7" s="26">
        <v>6.0</v>
      </c>
      <c r="B7" s="14">
        <v>45839.0</v>
      </c>
      <c r="C7" s="27" t="s">
        <v>11</v>
      </c>
      <c r="D7" s="16" t="s">
        <v>18</v>
      </c>
      <c r="E7" s="17">
        <f t="shared" si="1"/>
        <v>4</v>
      </c>
      <c r="F7" s="28">
        <v>45833.0</v>
      </c>
      <c r="G7" s="28">
        <v>45838.0</v>
      </c>
      <c r="H7" s="20">
        <f>ROUNDUP(IF(E7&gt;0,IF(Resumen!$A$2&gt;G7,100%,IF(Resumen!$A$2&lt;F7,0%,(100%/E7)*(NETWORKDAYS(F7,Resumen!$A$2)))),0%),2)</f>
        <v>1</v>
      </c>
      <c r="I7" s="21">
        <v>1.0</v>
      </c>
      <c r="J7" s="22" t="str">
        <f t="shared" si="2"/>
        <v>Terminado</v>
      </c>
      <c r="M7" s="36" t="s">
        <v>19</v>
      </c>
      <c r="N7" s="33"/>
      <c r="O7" s="33"/>
      <c r="P7" s="33"/>
      <c r="Q7" s="37"/>
      <c r="R7" s="37"/>
      <c r="S7" s="37"/>
      <c r="T7" s="37"/>
      <c r="U7" s="37"/>
      <c r="V7" s="37"/>
      <c r="W7" s="37"/>
      <c r="X7" s="33"/>
      <c r="Y7" s="33"/>
    </row>
    <row r="8">
      <c r="A8" s="13">
        <v>7.0</v>
      </c>
      <c r="B8" s="14">
        <v>45659.0</v>
      </c>
      <c r="C8" s="38" t="s">
        <v>17</v>
      </c>
      <c r="D8" s="16" t="s">
        <v>20</v>
      </c>
      <c r="E8" s="17">
        <f t="shared" si="1"/>
        <v>3</v>
      </c>
      <c r="F8" s="28">
        <v>45812.0</v>
      </c>
      <c r="G8" s="28">
        <v>45814.0</v>
      </c>
      <c r="H8" s="20">
        <f>ROUNDUP(IF(E8&gt;0,IF(Resumen!$A$2&gt;G8,100%,IF(Resumen!$A$2&lt;F8,0%,(100%/E8)*(NETWORKDAYS(F8,Resumen!$A$2)))),0%),2)</f>
        <v>1</v>
      </c>
      <c r="I8" s="20">
        <v>1.0</v>
      </c>
      <c r="J8" s="22" t="str">
        <f t="shared" si="2"/>
        <v>Terminado</v>
      </c>
      <c r="M8" s="39" t="s">
        <v>21</v>
      </c>
      <c r="N8" s="33"/>
      <c r="O8" s="33"/>
      <c r="P8" s="33"/>
      <c r="Q8" s="33"/>
      <c r="R8" s="33"/>
      <c r="S8" s="33"/>
      <c r="T8" s="33"/>
      <c r="U8" s="33"/>
      <c r="V8" s="40"/>
      <c r="W8" s="40"/>
      <c r="X8" s="40"/>
      <c r="Y8" s="33"/>
    </row>
    <row r="9" ht="15.75" customHeight="1">
      <c r="A9" s="26">
        <v>8.0</v>
      </c>
      <c r="B9" s="14">
        <v>45324.0</v>
      </c>
      <c r="C9" s="41" t="s">
        <v>17</v>
      </c>
      <c r="D9" s="16" t="s">
        <v>22</v>
      </c>
      <c r="E9" s="17">
        <f t="shared" si="1"/>
        <v>18</v>
      </c>
      <c r="F9" s="28">
        <v>45810.0</v>
      </c>
      <c r="G9" s="28">
        <v>45833.0</v>
      </c>
      <c r="H9" s="20">
        <f>ROUNDUP(IF(E9&gt;0,IF(Resumen!$A$2&gt;G9,100%,IF(Resumen!$A$2&lt;F9,0%,(100%/E9)*(NETWORKDAYS(F9,Resumen!$A$2)))),0%),2)</f>
        <v>1</v>
      </c>
      <c r="I9" s="21">
        <v>1.0</v>
      </c>
      <c r="J9" s="22" t="str">
        <f t="shared" si="2"/>
        <v>Terminado</v>
      </c>
      <c r="M9" s="42" t="s">
        <v>23</v>
      </c>
      <c r="N9" s="33"/>
      <c r="O9" s="33"/>
      <c r="P9" s="33"/>
      <c r="Q9" s="33"/>
      <c r="R9" s="33"/>
      <c r="S9" s="33"/>
      <c r="T9" s="33"/>
      <c r="U9" s="33"/>
      <c r="V9" s="33"/>
      <c r="W9" s="33"/>
      <c r="X9" s="43"/>
      <c r="Y9" s="43"/>
    </row>
    <row r="10">
      <c r="A10" s="26">
        <v>9.0</v>
      </c>
      <c r="B10" s="44" t="s">
        <v>24</v>
      </c>
      <c r="C10" s="38" t="s">
        <v>17</v>
      </c>
      <c r="D10" s="45" t="s">
        <v>25</v>
      </c>
      <c r="E10" s="17">
        <f t="shared" si="1"/>
        <v>2</v>
      </c>
      <c r="F10" s="19">
        <v>45811.0</v>
      </c>
      <c r="G10" s="28">
        <v>45812.0</v>
      </c>
      <c r="H10" s="20">
        <f>ROUNDUP(IF(E10&gt;0,IF(Resumen!$A$2&gt;G10,100%,IF(Resumen!$A$2&lt;F10,0%,(100%/E10)*(NETWORKDAYS(F10,Resumen!$A$2)))),0%),2)</f>
        <v>1</v>
      </c>
      <c r="I10" s="46">
        <v>1.0</v>
      </c>
      <c r="J10" s="22" t="str">
        <f t="shared" si="2"/>
        <v>Terminado</v>
      </c>
      <c r="M10" s="47" t="s">
        <v>26</v>
      </c>
    </row>
    <row r="11">
      <c r="A11" s="13">
        <v>10.0</v>
      </c>
      <c r="B11" s="44" t="s">
        <v>27</v>
      </c>
      <c r="C11" s="38" t="s">
        <v>17</v>
      </c>
      <c r="D11" s="45" t="s">
        <v>28</v>
      </c>
      <c r="E11" s="17">
        <f t="shared" si="1"/>
        <v>2</v>
      </c>
      <c r="F11" s="19">
        <v>45812.0</v>
      </c>
      <c r="G11" s="28">
        <v>45813.0</v>
      </c>
      <c r="H11" s="20">
        <f>ROUNDUP(IF(E11&gt;0,IF(Resumen!$A$2&gt;G11,100%,IF(Resumen!$A$2&lt;F11,0%,(100%/E11)*(NETWORKDAYS(F11,Resumen!$A$2)))),0%),2)</f>
        <v>1</v>
      </c>
      <c r="I11" s="46">
        <v>1.0</v>
      </c>
      <c r="J11" s="22" t="str">
        <f t="shared" si="2"/>
        <v>Terminado</v>
      </c>
    </row>
    <row r="12">
      <c r="A12" s="26">
        <v>11.0</v>
      </c>
      <c r="B12" s="44" t="s">
        <v>29</v>
      </c>
      <c r="C12" s="38" t="s">
        <v>17</v>
      </c>
      <c r="D12" s="45" t="s">
        <v>30</v>
      </c>
      <c r="E12" s="17">
        <f t="shared" si="1"/>
        <v>2</v>
      </c>
      <c r="F12" s="19">
        <v>45813.0</v>
      </c>
      <c r="G12" s="28">
        <v>45814.0</v>
      </c>
      <c r="H12" s="20">
        <f>ROUNDUP(IF(E12&gt;0,IF(Resumen!$A$2&gt;G12,100%,IF(Resumen!$A$2&lt;F12,0%,(100%/E12)*(NETWORKDAYS(F12,Resumen!$A$2)))),0%),2)</f>
        <v>1</v>
      </c>
      <c r="I12" s="46">
        <v>1.0</v>
      </c>
      <c r="J12" s="22" t="str">
        <f t="shared" si="2"/>
        <v>Terminado</v>
      </c>
    </row>
    <row r="13">
      <c r="A13" s="26">
        <v>12.0</v>
      </c>
      <c r="B13" s="44" t="s">
        <v>31</v>
      </c>
      <c r="C13" s="38" t="s">
        <v>17</v>
      </c>
      <c r="D13" s="45" t="s">
        <v>32</v>
      </c>
      <c r="E13" s="17">
        <f t="shared" si="1"/>
        <v>2</v>
      </c>
      <c r="F13" s="19">
        <v>45817.0</v>
      </c>
      <c r="G13" s="28">
        <v>45818.0</v>
      </c>
      <c r="H13" s="20">
        <f>ROUNDUP(IF(E13&gt;0,IF(Resumen!$A$2&gt;G13,100%,IF(Resumen!$A$2&lt;F13,0%,(100%/E13)*(NETWORKDAYS(F13,Resumen!$A$2)))),0%),2)</f>
        <v>1</v>
      </c>
      <c r="I13" s="46">
        <v>1.0</v>
      </c>
      <c r="J13" s="22" t="str">
        <f t="shared" si="2"/>
        <v>Terminado</v>
      </c>
    </row>
    <row r="14">
      <c r="A14" s="13">
        <v>13.0</v>
      </c>
      <c r="B14" s="44" t="s">
        <v>33</v>
      </c>
      <c r="C14" s="38" t="s">
        <v>17</v>
      </c>
      <c r="D14" s="45" t="s">
        <v>34</v>
      </c>
      <c r="E14" s="17">
        <f t="shared" si="1"/>
        <v>2</v>
      </c>
      <c r="F14" s="19">
        <v>45818.0</v>
      </c>
      <c r="G14" s="28">
        <v>45819.0</v>
      </c>
      <c r="H14" s="20">
        <f>ROUNDUP(IF(E14&gt;0,IF(Resumen!$A$2&gt;G14,100%,IF(Resumen!$A$2&lt;F14,0%,(100%/E14)*(NETWORKDAYS(F14,Resumen!$A$2)))),0%),2)</f>
        <v>1</v>
      </c>
      <c r="I14" s="46">
        <v>1.0</v>
      </c>
      <c r="J14" s="22" t="str">
        <f t="shared" si="2"/>
        <v>Terminado</v>
      </c>
    </row>
    <row r="15">
      <c r="A15" s="26">
        <v>14.0</v>
      </c>
      <c r="B15" s="44" t="s">
        <v>35</v>
      </c>
      <c r="C15" s="38" t="s">
        <v>17</v>
      </c>
      <c r="D15" s="45" t="s">
        <v>36</v>
      </c>
      <c r="E15" s="17">
        <f t="shared" si="1"/>
        <v>2</v>
      </c>
      <c r="F15" s="19">
        <v>45819.0</v>
      </c>
      <c r="G15" s="28">
        <v>45820.0</v>
      </c>
      <c r="H15" s="20">
        <f>ROUNDUP(IF(E15&gt;0,IF(Resumen!$A$2&gt;G15,100%,IF(Resumen!$A$2&lt;F15,0%,(100%/E15)*(NETWORKDAYS(F15,Resumen!$A$2)))),0%),2)</f>
        <v>1</v>
      </c>
      <c r="I15" s="46">
        <v>1.0</v>
      </c>
      <c r="J15" s="22" t="str">
        <f t="shared" si="2"/>
        <v>Terminado</v>
      </c>
    </row>
    <row r="16">
      <c r="A16" s="26">
        <v>15.0</v>
      </c>
      <c r="B16" s="44" t="s">
        <v>37</v>
      </c>
      <c r="C16" s="38" t="s">
        <v>17</v>
      </c>
      <c r="D16" s="45" t="s">
        <v>38</v>
      </c>
      <c r="E16" s="17">
        <f t="shared" si="1"/>
        <v>2</v>
      </c>
      <c r="F16" s="19">
        <v>45820.0</v>
      </c>
      <c r="G16" s="28">
        <v>45821.0</v>
      </c>
      <c r="H16" s="20">
        <f>ROUNDUP(IF(E16&gt;0,IF(Resumen!$A$2&gt;G16,100%,IF(Resumen!$A$2&lt;F16,0%,(100%/E16)*(NETWORKDAYS(F16,Resumen!$A$2)))),0%),2)</f>
        <v>1</v>
      </c>
      <c r="I16" s="46">
        <v>1.0</v>
      </c>
      <c r="J16" s="22" t="str">
        <f t="shared" si="2"/>
        <v>Terminado</v>
      </c>
    </row>
    <row r="17" ht="15.75" customHeight="1">
      <c r="A17" s="13">
        <v>16.0</v>
      </c>
      <c r="B17" s="44" t="s">
        <v>39</v>
      </c>
      <c r="C17" s="38" t="s">
        <v>17</v>
      </c>
      <c r="D17" s="45" t="s">
        <v>40</v>
      </c>
      <c r="E17" s="17">
        <f t="shared" si="1"/>
        <v>2</v>
      </c>
      <c r="F17" s="19">
        <v>45821.0</v>
      </c>
      <c r="G17" s="28">
        <v>45824.0</v>
      </c>
      <c r="H17" s="20">
        <f>ROUNDUP(IF(E17&gt;0,IF(Resumen!$A$2&gt;G17,100%,IF(Resumen!$A$2&lt;F17,0%,(100%/E17)*(NETWORKDAYS(F17,Resumen!$A$2)))),0%),2)</f>
        <v>1</v>
      </c>
      <c r="I17" s="46">
        <v>1.0</v>
      </c>
      <c r="J17" s="22" t="str">
        <f t="shared" si="2"/>
        <v>Terminado</v>
      </c>
    </row>
    <row r="18" ht="15.75" customHeight="1">
      <c r="A18" s="26">
        <v>17.0</v>
      </c>
      <c r="B18" s="44" t="s">
        <v>41</v>
      </c>
      <c r="C18" s="38" t="s">
        <v>17</v>
      </c>
      <c r="D18" s="45" t="s">
        <v>42</v>
      </c>
      <c r="E18" s="17">
        <f t="shared" si="1"/>
        <v>2</v>
      </c>
      <c r="F18" s="19">
        <v>45824.0</v>
      </c>
      <c r="G18" s="28">
        <v>45825.0</v>
      </c>
      <c r="H18" s="20">
        <f>ROUNDUP(IF(E18&gt;0,IF(Resumen!$A$2&gt;G18,100%,IF(Resumen!$A$2&lt;F18,0%,(100%/E18)*(NETWORKDAYS(F18,Resumen!$A$2)))),0%),2)</f>
        <v>1</v>
      </c>
      <c r="I18" s="46">
        <v>1.0</v>
      </c>
      <c r="J18" s="22" t="str">
        <f t="shared" si="2"/>
        <v>Terminado</v>
      </c>
      <c r="S18" s="48"/>
    </row>
    <row r="19" ht="15.75" customHeight="1">
      <c r="A19" s="26">
        <v>18.0</v>
      </c>
      <c r="B19" s="44" t="s">
        <v>43</v>
      </c>
      <c r="C19" s="38" t="s">
        <v>17</v>
      </c>
      <c r="D19" s="45" t="s">
        <v>44</v>
      </c>
      <c r="E19" s="17">
        <f t="shared" si="1"/>
        <v>2</v>
      </c>
      <c r="F19" s="19">
        <v>45825.0</v>
      </c>
      <c r="G19" s="28">
        <v>45826.0</v>
      </c>
      <c r="H19" s="20">
        <f>ROUNDUP(IF(E19&gt;0,IF(Resumen!$A$2&gt;G19,100%,IF(Resumen!$A$2&lt;F19,0%,(100%/E19)*(NETWORKDAYS(F19,Resumen!$A$2)))),0%),2)</f>
        <v>1</v>
      </c>
      <c r="I19" s="46">
        <v>1.0</v>
      </c>
      <c r="J19" s="22" t="str">
        <f t="shared" si="2"/>
        <v>Terminado</v>
      </c>
    </row>
    <row r="20" ht="15.75" customHeight="1">
      <c r="A20" s="13">
        <v>19.0</v>
      </c>
      <c r="B20" s="44" t="s">
        <v>45</v>
      </c>
      <c r="C20" s="38" t="s">
        <v>17</v>
      </c>
      <c r="D20" s="45" t="s">
        <v>46</v>
      </c>
      <c r="E20" s="17">
        <f t="shared" si="1"/>
        <v>2</v>
      </c>
      <c r="F20" s="19">
        <v>45826.0</v>
      </c>
      <c r="G20" s="28">
        <v>45827.0</v>
      </c>
      <c r="H20" s="20">
        <f>ROUNDUP(IF(E20&gt;0,IF(Resumen!$A$2&gt;G20,100%,IF(Resumen!$A$2&lt;F20,0%,(100%/E20)*(NETWORKDAYS(F20,Resumen!$A$2)))),0%),2)</f>
        <v>1</v>
      </c>
      <c r="I20" s="46">
        <v>1.0</v>
      </c>
      <c r="J20" s="22" t="str">
        <f t="shared" si="2"/>
        <v>Terminado</v>
      </c>
    </row>
    <row r="21" ht="15.75" customHeight="1">
      <c r="A21" s="26">
        <v>20.0</v>
      </c>
      <c r="B21" s="44" t="s">
        <v>47</v>
      </c>
      <c r="C21" s="38" t="s">
        <v>17</v>
      </c>
      <c r="D21" s="45" t="s">
        <v>48</v>
      </c>
      <c r="E21" s="17">
        <f t="shared" si="1"/>
        <v>4</v>
      </c>
      <c r="F21" s="19">
        <v>45828.0</v>
      </c>
      <c r="G21" s="28">
        <v>45833.0</v>
      </c>
      <c r="H21" s="20">
        <f>ROUNDUP(IF(E21&gt;0,IF(Resumen!$A$2&gt;G21,100%,IF(Resumen!$A$2&lt;F21,0%,(100%/E21)*(NETWORKDAYS(F21,Resumen!$A$2)))),0%),2)</f>
        <v>1</v>
      </c>
      <c r="I21" s="46">
        <v>1.0</v>
      </c>
      <c r="J21" s="22" t="str">
        <f t="shared" si="2"/>
        <v>Terminado</v>
      </c>
    </row>
    <row r="22" ht="15.75" customHeight="1">
      <c r="A22" s="26">
        <v>21.0</v>
      </c>
      <c r="B22" s="44" t="s">
        <v>49</v>
      </c>
      <c r="C22" s="49" t="s">
        <v>19</v>
      </c>
      <c r="D22" s="45" t="s">
        <v>50</v>
      </c>
      <c r="E22" s="17">
        <f t="shared" si="1"/>
        <v>9</v>
      </c>
      <c r="F22" s="19">
        <v>45827.0</v>
      </c>
      <c r="G22" s="28">
        <v>45839.0</v>
      </c>
      <c r="H22" s="20">
        <f>ROUNDUP(IF(E22&gt;0,IF(Resumen!$A$2&gt;G22,100%,IF(Resumen!$A$2&lt;F22,0%,(100%/E22)*(NETWORKDAYS(F22,Resumen!$A$2)))),0%),2)</f>
        <v>1</v>
      </c>
      <c r="I22" s="46">
        <v>1.0</v>
      </c>
      <c r="J22" s="22" t="str">
        <f t="shared" si="2"/>
        <v>Terminado</v>
      </c>
    </row>
    <row r="23" ht="15.75" customHeight="1">
      <c r="A23" s="13">
        <v>22.0</v>
      </c>
      <c r="B23" s="44" t="s">
        <v>51</v>
      </c>
      <c r="C23" s="49" t="s">
        <v>19</v>
      </c>
      <c r="D23" s="45" t="s">
        <v>25</v>
      </c>
      <c r="E23" s="17">
        <f t="shared" si="1"/>
        <v>3</v>
      </c>
      <c r="F23" s="19">
        <v>45834.0</v>
      </c>
      <c r="G23" s="28">
        <v>45838.0</v>
      </c>
      <c r="H23" s="20">
        <f>ROUNDUP(IF(E23&gt;0,IF(Resumen!$A$2&gt;G23,100%,IF(Resumen!$A$2&lt;F23,0%,(100%/E23)*(NETWORKDAYS(F23,Resumen!$A$2)))),0%),2)</f>
        <v>1</v>
      </c>
      <c r="I23" s="46">
        <v>1.0</v>
      </c>
      <c r="J23" s="22" t="str">
        <f t="shared" si="2"/>
        <v>Terminado</v>
      </c>
    </row>
    <row r="24" ht="15.75" customHeight="1">
      <c r="A24" s="26">
        <v>23.0</v>
      </c>
      <c r="B24" s="44" t="s">
        <v>52</v>
      </c>
      <c r="C24" s="49" t="s">
        <v>19</v>
      </c>
      <c r="D24" s="45" t="s">
        <v>28</v>
      </c>
      <c r="E24" s="17">
        <f t="shared" si="1"/>
        <v>3</v>
      </c>
      <c r="F24" s="19">
        <v>45839.0</v>
      </c>
      <c r="G24" s="28">
        <v>45841.0</v>
      </c>
      <c r="H24" s="20">
        <f>ROUNDUP(IF(E24&gt;0,IF(Resumen!$A$2&gt;G24,100%,IF(Resumen!$A$2&lt;F24,0%,(100%/E24)*(NETWORKDAYS(F24,Resumen!$A$2)))),0%),2)</f>
        <v>1</v>
      </c>
      <c r="I24" s="50">
        <v>1.0</v>
      </c>
      <c r="J24" s="22" t="str">
        <f t="shared" si="2"/>
        <v>Terminado</v>
      </c>
    </row>
    <row r="25" ht="15.75" customHeight="1">
      <c r="A25" s="26">
        <v>24.0</v>
      </c>
      <c r="B25" s="44" t="s">
        <v>53</v>
      </c>
      <c r="C25" s="49" t="s">
        <v>19</v>
      </c>
      <c r="D25" s="45" t="s">
        <v>30</v>
      </c>
      <c r="E25" s="17">
        <f t="shared" si="1"/>
        <v>3</v>
      </c>
      <c r="F25" s="19">
        <v>45841.0</v>
      </c>
      <c r="G25" s="28">
        <v>45845.0</v>
      </c>
      <c r="H25" s="20">
        <f>ROUNDUP(IF(E25&gt;0,IF(Resumen!$A$2&gt;G25,100%,IF(Resumen!$A$2&lt;F25,0%,(100%/E25)*(NETWORKDAYS(F25,Resumen!$A$2)))),0%),2)</f>
        <v>1</v>
      </c>
      <c r="I25" s="50">
        <v>1.0</v>
      </c>
      <c r="J25" s="22" t="str">
        <f t="shared" si="2"/>
        <v>Terminado</v>
      </c>
    </row>
    <row r="26" ht="15.75" customHeight="1">
      <c r="A26" s="13">
        <v>25.0</v>
      </c>
      <c r="B26" s="44" t="s">
        <v>54</v>
      </c>
      <c r="C26" s="49" t="s">
        <v>19</v>
      </c>
      <c r="D26" s="45" t="s">
        <v>32</v>
      </c>
      <c r="E26" s="17">
        <f t="shared" si="1"/>
        <v>3</v>
      </c>
      <c r="F26" s="19">
        <v>45847.0</v>
      </c>
      <c r="G26" s="28">
        <v>45849.0</v>
      </c>
      <c r="H26" s="20">
        <f>ROUNDUP(IF(E26&gt;0,IF(Resumen!$A$2&gt;G26,100%,IF(Resumen!$A$2&lt;F26,0%,(100%/E26)*(NETWORKDAYS(F26,Resumen!$A$2)))),0%),2)</f>
        <v>1</v>
      </c>
      <c r="I26" s="50">
        <v>1.0</v>
      </c>
      <c r="J26" s="22" t="str">
        <f t="shared" si="2"/>
        <v>Terminado</v>
      </c>
    </row>
    <row r="27" ht="15.75" customHeight="1">
      <c r="A27" s="26">
        <v>26.0</v>
      </c>
      <c r="B27" s="44" t="s">
        <v>55</v>
      </c>
      <c r="C27" s="49" t="s">
        <v>19</v>
      </c>
      <c r="D27" s="45" t="s">
        <v>34</v>
      </c>
      <c r="E27" s="17">
        <f t="shared" si="1"/>
        <v>3</v>
      </c>
      <c r="F27" s="19">
        <v>45849.0</v>
      </c>
      <c r="G27" s="28">
        <v>45853.0</v>
      </c>
      <c r="H27" s="20">
        <f>ROUNDUP(IF(E27&gt;0,IF(Resumen!$A$2&gt;G27,100%,IF(Resumen!$A$2&lt;F27,0%,(100%/E27)*(NETWORKDAYS(F27,Resumen!$A$2)))),0%),2)</f>
        <v>1</v>
      </c>
      <c r="I27" s="50">
        <v>1.0</v>
      </c>
      <c r="J27" s="22" t="str">
        <f t="shared" si="2"/>
        <v>Terminado</v>
      </c>
    </row>
    <row r="28" ht="15.75" customHeight="1">
      <c r="A28" s="26">
        <v>27.0</v>
      </c>
      <c r="B28" s="44" t="s">
        <v>56</v>
      </c>
      <c r="C28" s="49" t="s">
        <v>19</v>
      </c>
      <c r="D28" s="45" t="s">
        <v>36</v>
      </c>
      <c r="E28" s="17">
        <f t="shared" si="1"/>
        <v>3</v>
      </c>
      <c r="F28" s="19">
        <v>45853.0</v>
      </c>
      <c r="G28" s="28">
        <v>45855.0</v>
      </c>
      <c r="H28" s="20">
        <f>ROUNDUP(IF(E28&gt;0,IF(Resumen!$A$2&gt;G28,100%,IF(Resumen!$A$2&lt;F28,0%,(100%/E28)*(NETWORKDAYS(F28,Resumen!$A$2)))),0%),2)</f>
        <v>1</v>
      </c>
      <c r="I28" s="50">
        <v>1.0</v>
      </c>
      <c r="J28" s="22" t="str">
        <f t="shared" si="2"/>
        <v>Terminado</v>
      </c>
    </row>
    <row r="29" ht="15.75" customHeight="1">
      <c r="A29" s="13">
        <v>28.0</v>
      </c>
      <c r="B29" s="44" t="s">
        <v>57</v>
      </c>
      <c r="C29" s="49" t="s">
        <v>19</v>
      </c>
      <c r="D29" s="45" t="s">
        <v>38</v>
      </c>
      <c r="E29" s="17">
        <f t="shared" si="1"/>
        <v>3</v>
      </c>
      <c r="F29" s="19">
        <v>45855.0</v>
      </c>
      <c r="G29" s="28">
        <v>45859.0</v>
      </c>
      <c r="H29" s="20">
        <f>ROUNDUP(IF(E29&gt;0,IF(Resumen!$A$2&gt;G29,100%,IF(Resumen!$A$2&lt;F29,0%,(100%/E29)*(NETWORKDAYS(F29,Resumen!$A$2)))),0%),2)</f>
        <v>1</v>
      </c>
      <c r="I29" s="50">
        <v>1.0</v>
      </c>
      <c r="J29" s="22" t="str">
        <f t="shared" si="2"/>
        <v>Terminado</v>
      </c>
    </row>
    <row r="30" ht="15.75" customHeight="1">
      <c r="A30" s="26">
        <v>29.0</v>
      </c>
      <c r="B30" s="44" t="s">
        <v>58</v>
      </c>
      <c r="C30" s="49" t="s">
        <v>19</v>
      </c>
      <c r="D30" s="45" t="s">
        <v>40</v>
      </c>
      <c r="E30" s="17">
        <f t="shared" si="1"/>
        <v>3</v>
      </c>
      <c r="F30" s="19">
        <v>45859.0</v>
      </c>
      <c r="G30" s="28">
        <v>45861.0</v>
      </c>
      <c r="H30" s="20">
        <f>ROUNDUP(IF(E30&gt;0,IF(Resumen!$A$2&gt;G30,100%,IF(Resumen!$A$2&lt;F30,0%,(100%/E30)*(NETWORKDAYS(F30,Resumen!$A$2)))),0%),2)</f>
        <v>1</v>
      </c>
      <c r="I30" s="50">
        <v>1.0</v>
      </c>
      <c r="J30" s="22" t="str">
        <f t="shared" si="2"/>
        <v>Terminado</v>
      </c>
    </row>
    <row r="31" ht="15.75" customHeight="1">
      <c r="A31" s="26">
        <v>30.0</v>
      </c>
      <c r="B31" s="44" t="s">
        <v>59</v>
      </c>
      <c r="C31" s="49" t="s">
        <v>19</v>
      </c>
      <c r="D31" s="45" t="s">
        <v>42</v>
      </c>
      <c r="E31" s="17">
        <f t="shared" si="1"/>
        <v>3</v>
      </c>
      <c r="F31" s="19">
        <v>45861.0</v>
      </c>
      <c r="G31" s="28">
        <v>45863.0</v>
      </c>
      <c r="H31" s="20">
        <f>ROUNDUP(IF(E31&gt;0,IF(Resumen!$A$2&gt;G31,100%,IF(Resumen!$A$2&lt;F31,0%,(100%/E31)*(NETWORKDAYS(F31,Resumen!$A$2)))),0%),2)</f>
        <v>1</v>
      </c>
      <c r="I31" s="50">
        <v>1.0</v>
      </c>
      <c r="J31" s="22" t="str">
        <f t="shared" si="2"/>
        <v>Terminado</v>
      </c>
    </row>
    <row r="32" ht="15.75" customHeight="1">
      <c r="A32" s="13">
        <v>31.0</v>
      </c>
      <c r="B32" s="44" t="s">
        <v>60</v>
      </c>
      <c r="C32" s="49" t="s">
        <v>19</v>
      </c>
      <c r="D32" s="45" t="s">
        <v>44</v>
      </c>
      <c r="E32" s="17">
        <f t="shared" si="1"/>
        <v>3</v>
      </c>
      <c r="F32" s="19">
        <v>45863.0</v>
      </c>
      <c r="G32" s="28">
        <v>45867.0</v>
      </c>
      <c r="H32" s="20">
        <f>ROUNDUP(IF(E32&gt;0,IF(Resumen!$A$2&gt;G32,100%,IF(Resumen!$A$2&lt;F32,0%,(100%/E32)*(NETWORKDAYS(F32,Resumen!$A$2)))),0%),2)</f>
        <v>1</v>
      </c>
      <c r="I32" s="50">
        <v>1.0</v>
      </c>
      <c r="J32" s="22" t="str">
        <f t="shared" si="2"/>
        <v>Terminado</v>
      </c>
    </row>
    <row r="33" ht="15.75" customHeight="1">
      <c r="A33" s="26">
        <v>32.0</v>
      </c>
      <c r="B33" s="44" t="s">
        <v>61</v>
      </c>
      <c r="C33" s="49" t="s">
        <v>19</v>
      </c>
      <c r="D33" s="45" t="s">
        <v>46</v>
      </c>
      <c r="E33" s="17">
        <f t="shared" si="1"/>
        <v>3</v>
      </c>
      <c r="F33" s="19">
        <v>45867.0</v>
      </c>
      <c r="G33" s="28">
        <v>45869.0</v>
      </c>
      <c r="H33" s="20">
        <f>ROUNDUP(IF(E33&gt;0,IF(Resumen!$A$2&gt;G33,100%,IF(Resumen!$A$2&lt;F33,0%,(100%/E33)*(NETWORKDAYS(F33,Resumen!$A$2)))),0%),2)</f>
        <v>1</v>
      </c>
      <c r="I33" s="50">
        <v>1.0</v>
      </c>
      <c r="J33" s="22" t="str">
        <f t="shared" si="2"/>
        <v>Terminado</v>
      </c>
    </row>
    <row r="34" ht="15.75" customHeight="1">
      <c r="A34" s="26">
        <v>33.0</v>
      </c>
      <c r="B34" s="51" t="s">
        <v>62</v>
      </c>
      <c r="C34" s="52" t="s">
        <v>23</v>
      </c>
      <c r="D34" s="53" t="s">
        <v>63</v>
      </c>
      <c r="E34" s="17">
        <f t="shared" si="1"/>
        <v>3</v>
      </c>
      <c r="F34" s="19">
        <v>45859.0</v>
      </c>
      <c r="G34" s="28">
        <v>45861.0</v>
      </c>
      <c r="H34" s="20">
        <f>ROUNDUP(IF(E34&gt;0,IF(Resumen!$A$2&gt;G34,100%,IF(Resumen!$A$2&lt;F34,0%,(100%/E34)*(NETWORKDAYS(F34,Resumen!$A$2)))),0%),2)</f>
        <v>1</v>
      </c>
      <c r="I34" s="50">
        <v>1.0</v>
      </c>
      <c r="J34" s="22" t="str">
        <f t="shared" si="2"/>
        <v>Terminado</v>
      </c>
    </row>
    <row r="35" ht="15.75" customHeight="1">
      <c r="A35" s="13">
        <v>34.0</v>
      </c>
      <c r="B35" s="51" t="s">
        <v>64</v>
      </c>
      <c r="C35" s="52" t="s">
        <v>23</v>
      </c>
      <c r="D35" s="53" t="s">
        <v>65</v>
      </c>
      <c r="E35" s="17">
        <f t="shared" si="1"/>
        <v>3</v>
      </c>
      <c r="F35" s="19">
        <v>45861.0</v>
      </c>
      <c r="G35" s="28">
        <v>45863.0</v>
      </c>
      <c r="H35" s="20">
        <f>ROUNDUP(IF(E35&gt;0,IF(Resumen!$A$2&gt;G35,100%,IF(Resumen!$A$2&lt;F35,0%,(100%/E35)*(NETWORKDAYS(F35,Resumen!$A$2)))),0%),2)</f>
        <v>1</v>
      </c>
      <c r="I35" s="50">
        <v>1.0</v>
      </c>
      <c r="J35" s="22" t="str">
        <f t="shared" si="2"/>
        <v>Terminado</v>
      </c>
    </row>
    <row r="36" ht="15.75" customHeight="1">
      <c r="A36" s="26">
        <v>35.0</v>
      </c>
      <c r="B36" s="51" t="s">
        <v>66</v>
      </c>
      <c r="C36" s="52" t="s">
        <v>23</v>
      </c>
      <c r="D36" s="53" t="s">
        <v>67</v>
      </c>
      <c r="E36" s="17">
        <f t="shared" si="1"/>
        <v>3</v>
      </c>
      <c r="F36" s="19">
        <v>45863.0</v>
      </c>
      <c r="G36" s="28">
        <v>45867.0</v>
      </c>
      <c r="H36" s="20">
        <f>ROUNDUP(IF(E36&gt;0,IF(Resumen!$A$2&gt;G36,100%,IF(Resumen!$A$2&lt;F36,0%,(100%/E36)*(NETWORKDAYS(F36,Resumen!$A$2)))),0%),2)</f>
        <v>1</v>
      </c>
      <c r="I36" s="50">
        <v>1.0</v>
      </c>
      <c r="J36" s="22" t="str">
        <f t="shared" si="2"/>
        <v>Terminado</v>
      </c>
    </row>
    <row r="37" ht="15.75" customHeight="1">
      <c r="A37" s="26">
        <v>36.0</v>
      </c>
      <c r="B37" s="51" t="s">
        <v>68</v>
      </c>
      <c r="C37" s="52" t="s">
        <v>23</v>
      </c>
      <c r="D37" s="45" t="s">
        <v>69</v>
      </c>
      <c r="E37" s="17">
        <f t="shared" si="1"/>
        <v>3</v>
      </c>
      <c r="F37" s="19">
        <v>45867.0</v>
      </c>
      <c r="G37" s="28">
        <v>45869.0</v>
      </c>
      <c r="H37" s="20">
        <f>ROUNDUP(IF(E37&gt;0,IF(Resumen!$A$2&gt;G37,100%,IF(Resumen!$A$2&lt;F37,0%,(100%/E37)*(NETWORKDAYS(F37,Resumen!$A$2)))),0%),2)</f>
        <v>1</v>
      </c>
      <c r="I37" s="50">
        <v>1.0</v>
      </c>
      <c r="J37" s="22" t="str">
        <f t="shared" si="2"/>
        <v>Terminado</v>
      </c>
    </row>
    <row r="38" ht="15.75" customHeight="1">
      <c r="A38" s="13">
        <v>37.0</v>
      </c>
      <c r="B38" s="51" t="s">
        <v>70</v>
      </c>
      <c r="C38" s="52" t="s">
        <v>23</v>
      </c>
      <c r="D38" s="45" t="s">
        <v>71</v>
      </c>
      <c r="E38" s="17">
        <f t="shared" si="1"/>
        <v>3</v>
      </c>
      <c r="F38" s="19">
        <v>45869.0</v>
      </c>
      <c r="G38" s="28">
        <v>45873.0</v>
      </c>
      <c r="H38" s="20">
        <f>ROUNDUP(IF(E38&gt;0,IF(Resumen!$A$2&gt;G38,100%,IF(Resumen!$A$2&lt;F38,0%,(100%/E38)*(NETWORKDAYS(F38,Resumen!$A$2)))),0%),2)</f>
        <v>1</v>
      </c>
      <c r="I38" s="50">
        <v>1.0</v>
      </c>
      <c r="J38" s="22" t="str">
        <f t="shared" si="2"/>
        <v>Terminado</v>
      </c>
    </row>
    <row r="39" ht="15.75" customHeight="1">
      <c r="A39" s="26">
        <v>38.0</v>
      </c>
      <c r="B39" s="51" t="s">
        <v>72</v>
      </c>
      <c r="C39" s="52" t="s">
        <v>23</v>
      </c>
      <c r="D39" s="53" t="s">
        <v>73</v>
      </c>
      <c r="E39" s="17">
        <f t="shared" si="1"/>
        <v>3</v>
      </c>
      <c r="F39" s="19">
        <v>45873.0</v>
      </c>
      <c r="G39" s="28">
        <v>45875.0</v>
      </c>
      <c r="H39" s="20">
        <f>ROUNDUP(IF(E39&gt;0,IF(Resumen!$A$2&gt;G39,100%,IF(Resumen!$A$2&lt;F39,0%,(100%/E39)*(NETWORKDAYS(F39,Resumen!$A$2)))),0%),2)</f>
        <v>1</v>
      </c>
      <c r="I39" s="50">
        <v>1.0</v>
      </c>
      <c r="J39" s="22" t="str">
        <f t="shared" si="2"/>
        <v>Terminado</v>
      </c>
    </row>
    <row r="40" ht="15.75" customHeight="1">
      <c r="A40" s="26">
        <v>39.0</v>
      </c>
      <c r="B40" s="51" t="s">
        <v>74</v>
      </c>
      <c r="C40" s="54" t="s">
        <v>21</v>
      </c>
      <c r="D40" s="16" t="s">
        <v>75</v>
      </c>
      <c r="E40" s="17">
        <f t="shared" si="1"/>
        <v>3</v>
      </c>
      <c r="F40" s="19">
        <v>45875.0</v>
      </c>
      <c r="G40" s="28">
        <v>45877.0</v>
      </c>
      <c r="H40" s="20">
        <f>ROUNDUP(IF(E40&gt;0,IF(Resumen!$A$2&gt;G40,100%,IF(Resumen!$A$2&lt;F40,0%,(100%/E40)*(NETWORKDAYS(F40,Resumen!$A$2)))),0%),2)</f>
        <v>1</v>
      </c>
      <c r="I40" s="50">
        <v>1.0</v>
      </c>
      <c r="J40" s="22" t="str">
        <f t="shared" si="2"/>
        <v>Terminado</v>
      </c>
    </row>
    <row r="41" ht="15.75" customHeight="1">
      <c r="A41" s="13">
        <v>40.0</v>
      </c>
      <c r="B41" s="51" t="s">
        <v>76</v>
      </c>
      <c r="C41" s="54" t="s">
        <v>21</v>
      </c>
      <c r="D41" s="55" t="s">
        <v>77</v>
      </c>
      <c r="E41" s="17">
        <f t="shared" si="1"/>
        <v>3</v>
      </c>
      <c r="F41" s="19">
        <v>45877.0</v>
      </c>
      <c r="G41" s="28">
        <v>45881.0</v>
      </c>
      <c r="H41" s="20">
        <f>ROUNDUP(IF(E41&gt;0,IF(Resumen!$A$2&gt;G41,100%,IF(Resumen!$A$2&lt;F41,0%,(100%/E41)*(NETWORKDAYS(F41,Resumen!$A$2)))),0%),2)</f>
        <v>1</v>
      </c>
      <c r="I41" s="50">
        <v>1.0</v>
      </c>
      <c r="J41" s="22" t="str">
        <f t="shared" si="2"/>
        <v>Terminado</v>
      </c>
    </row>
    <row r="42" ht="15.75" customHeight="1">
      <c r="A42" s="26">
        <v>41.0</v>
      </c>
      <c r="B42" s="51" t="s">
        <v>78</v>
      </c>
      <c r="C42" s="54" t="s">
        <v>21</v>
      </c>
      <c r="D42" s="16" t="s">
        <v>79</v>
      </c>
      <c r="E42" s="17">
        <f t="shared" si="1"/>
        <v>5</v>
      </c>
      <c r="F42" s="19">
        <v>45881.0</v>
      </c>
      <c r="G42" s="28">
        <v>45887.0</v>
      </c>
      <c r="H42" s="20">
        <f>ROUNDUP(IF(E42&gt;0,IF(Resumen!$A$2&gt;G42,100%,IF(Resumen!$A$2&lt;F42,0%,(100%/E42)*(NETWORKDAYS(F42,Resumen!$A$2)))),0%),2)</f>
        <v>1</v>
      </c>
      <c r="I42" s="50">
        <v>1.0</v>
      </c>
      <c r="J42" s="22" t="str">
        <f t="shared" si="2"/>
        <v>Terminado</v>
      </c>
    </row>
    <row r="43" ht="15.75" customHeight="1">
      <c r="A43" s="13"/>
      <c r="B43" s="51"/>
      <c r="C43" s="56"/>
      <c r="D43" s="16"/>
      <c r="E43" s="17"/>
      <c r="F43" s="19"/>
      <c r="G43" s="28"/>
      <c r="H43" s="20"/>
      <c r="I43" s="46"/>
      <c r="J43" s="22"/>
    </row>
    <row r="44" ht="15.75" customHeight="1">
      <c r="A44" s="13"/>
      <c r="B44" s="51"/>
      <c r="C44" s="56"/>
      <c r="D44" s="55"/>
      <c r="E44" s="17"/>
      <c r="F44" s="19"/>
      <c r="G44" s="28"/>
      <c r="H44" s="20"/>
      <c r="I44" s="46"/>
      <c r="J44" s="22"/>
    </row>
    <row r="45" ht="15.75" customHeight="1">
      <c r="A45" s="13"/>
      <c r="B45" s="51"/>
      <c r="C45" s="56"/>
      <c r="D45" s="16"/>
      <c r="E45" s="17"/>
      <c r="F45" s="57"/>
      <c r="G45" s="57"/>
      <c r="H45" s="20"/>
      <c r="I45" s="46"/>
      <c r="J45" s="22"/>
    </row>
    <row r="46" ht="15.75" customHeight="1">
      <c r="A46" s="26"/>
      <c r="B46" s="51"/>
      <c r="C46" s="58"/>
      <c r="D46" s="59"/>
      <c r="E46" s="17"/>
      <c r="F46" s="60"/>
      <c r="G46" s="60"/>
      <c r="H46" s="61"/>
      <c r="I46" s="62"/>
      <c r="J46" s="22"/>
    </row>
    <row r="47" ht="15.75" customHeight="1">
      <c r="A47" s="26"/>
      <c r="B47" s="62"/>
      <c r="C47" s="58"/>
      <c r="D47" s="59"/>
      <c r="E47" s="17"/>
      <c r="F47" s="60"/>
      <c r="G47" s="60"/>
      <c r="H47" s="61"/>
      <c r="I47" s="62"/>
      <c r="J47" s="22"/>
    </row>
    <row r="48" ht="15.75" customHeight="1">
      <c r="A48" s="26"/>
      <c r="B48" s="62"/>
      <c r="C48" s="58"/>
      <c r="D48" s="59"/>
      <c r="E48" s="17"/>
      <c r="F48" s="60"/>
      <c r="G48" s="60"/>
      <c r="H48" s="61"/>
      <c r="I48" s="62"/>
      <c r="J48" s="22"/>
    </row>
    <row r="49" ht="15.75" customHeight="1">
      <c r="A49" s="26"/>
      <c r="B49" s="62"/>
      <c r="C49" s="58"/>
      <c r="D49" s="59"/>
      <c r="E49" s="17"/>
      <c r="F49" s="60"/>
      <c r="G49" s="60"/>
      <c r="H49" s="61"/>
      <c r="I49" s="62"/>
      <c r="J49" s="22"/>
    </row>
    <row r="50" ht="15.75" customHeight="1">
      <c r="A50" s="26"/>
      <c r="B50" s="62"/>
      <c r="C50" s="58"/>
      <c r="D50" s="59"/>
      <c r="E50" s="17"/>
      <c r="F50" s="60"/>
      <c r="G50" s="60"/>
      <c r="H50" s="61"/>
      <c r="I50" s="62"/>
      <c r="J50" s="22"/>
    </row>
    <row r="51" ht="15.75" customHeight="1">
      <c r="A51" s="26"/>
      <c r="B51" s="62"/>
      <c r="C51" s="58"/>
      <c r="D51" s="59"/>
      <c r="E51" s="17"/>
      <c r="F51" s="60"/>
      <c r="G51" s="60"/>
      <c r="H51" s="61"/>
      <c r="I51" s="62"/>
      <c r="J51" s="22"/>
    </row>
    <row r="52" ht="15.75" customHeight="1">
      <c r="A52" s="26"/>
      <c r="B52" s="62"/>
      <c r="C52" s="58"/>
      <c r="D52" s="59"/>
      <c r="E52" s="17"/>
      <c r="F52" s="60"/>
      <c r="G52" s="60"/>
      <c r="H52" s="61"/>
      <c r="I52" s="62"/>
      <c r="J52" s="22"/>
    </row>
    <row r="53" ht="15.75" customHeight="1">
      <c r="A53" s="13"/>
      <c r="B53" s="62"/>
      <c r="C53" s="58"/>
      <c r="D53" s="59"/>
      <c r="E53" s="17"/>
      <c r="F53" s="60"/>
      <c r="G53" s="60"/>
      <c r="H53" s="61"/>
      <c r="I53" s="62"/>
      <c r="J53" s="22"/>
    </row>
    <row r="54" ht="15.75" customHeight="1">
      <c r="A54" s="13"/>
      <c r="B54" s="62"/>
      <c r="C54" s="58"/>
      <c r="D54" s="59"/>
      <c r="E54" s="17"/>
      <c r="F54" s="60"/>
      <c r="G54" s="60"/>
      <c r="H54" s="61"/>
      <c r="I54" s="62"/>
      <c r="J54" s="22"/>
    </row>
    <row r="55" ht="15.75" customHeight="1">
      <c r="A55" s="13"/>
      <c r="B55" s="62"/>
      <c r="C55" s="58"/>
      <c r="D55" s="59"/>
      <c r="E55" s="17"/>
      <c r="F55" s="60"/>
      <c r="G55" s="60"/>
      <c r="H55" s="61"/>
      <c r="I55" s="62"/>
      <c r="J55" s="22"/>
    </row>
    <row r="56" ht="15.75" customHeight="1">
      <c r="A56" s="13"/>
      <c r="B56" s="62"/>
      <c r="C56" s="58"/>
      <c r="D56" s="59"/>
      <c r="E56" s="17"/>
      <c r="F56" s="60"/>
      <c r="G56" s="60"/>
      <c r="H56" s="61"/>
      <c r="I56" s="62"/>
      <c r="J56" s="22"/>
    </row>
    <row r="57" ht="15.75" customHeight="1">
      <c r="A57" s="13"/>
      <c r="B57" s="62"/>
      <c r="C57" s="58"/>
      <c r="D57" s="59"/>
      <c r="E57" s="17"/>
      <c r="F57" s="60"/>
      <c r="G57" s="60"/>
      <c r="H57" s="61"/>
      <c r="I57" s="62"/>
      <c r="J57" s="22"/>
    </row>
    <row r="58" ht="15.75" customHeight="1">
      <c r="A58" s="13"/>
      <c r="B58" s="62"/>
      <c r="C58" s="58"/>
      <c r="D58" s="59"/>
      <c r="E58" s="17"/>
      <c r="F58" s="60"/>
      <c r="G58" s="60"/>
      <c r="H58" s="61"/>
      <c r="I58" s="62"/>
      <c r="J58" s="22"/>
    </row>
    <row r="59" ht="15.75" customHeight="1">
      <c r="A59" s="13"/>
      <c r="B59" s="62"/>
      <c r="C59" s="58"/>
      <c r="D59" s="59"/>
      <c r="E59" s="17"/>
      <c r="F59" s="60"/>
      <c r="G59" s="60"/>
      <c r="H59" s="61"/>
      <c r="I59" s="62"/>
      <c r="J59" s="22"/>
    </row>
    <row r="60" ht="15.75" customHeight="1">
      <c r="A60" s="13"/>
      <c r="B60" s="62"/>
      <c r="C60" s="58"/>
      <c r="D60" s="59"/>
      <c r="E60" s="17"/>
      <c r="F60" s="60"/>
      <c r="G60" s="60"/>
      <c r="H60" s="61"/>
      <c r="I60" s="62"/>
      <c r="J60" s="22"/>
    </row>
    <row r="61" ht="15.75" customHeight="1">
      <c r="A61" s="13"/>
      <c r="B61" s="62"/>
      <c r="C61" s="58"/>
      <c r="D61" s="59"/>
      <c r="E61" s="17"/>
      <c r="F61" s="60"/>
      <c r="G61" s="60"/>
      <c r="H61" s="61"/>
      <c r="I61" s="62"/>
      <c r="J61" s="22"/>
    </row>
    <row r="62" ht="15.75" customHeight="1">
      <c r="A62" s="13"/>
      <c r="B62" s="62"/>
      <c r="C62" s="58"/>
      <c r="D62" s="59"/>
      <c r="E62" s="17"/>
      <c r="F62" s="60"/>
      <c r="G62" s="60"/>
      <c r="H62" s="61"/>
      <c r="I62" s="62"/>
      <c r="J62" s="22"/>
    </row>
    <row r="63" ht="15.75" customHeight="1">
      <c r="A63" s="13"/>
      <c r="B63" s="62"/>
      <c r="C63" s="58"/>
      <c r="D63" s="59"/>
      <c r="E63" s="17"/>
      <c r="F63" s="60"/>
      <c r="G63" s="60"/>
      <c r="H63" s="61"/>
      <c r="I63" s="62"/>
      <c r="J63" s="22"/>
    </row>
    <row r="64" ht="15.75" customHeight="1">
      <c r="A64" s="13"/>
      <c r="B64" s="62"/>
      <c r="C64" s="58"/>
      <c r="D64" s="59"/>
      <c r="E64" s="17"/>
      <c r="F64" s="60"/>
      <c r="G64" s="60"/>
      <c r="H64" s="61"/>
      <c r="I64" s="62"/>
      <c r="J64" s="22"/>
    </row>
    <row r="65" ht="15.75" customHeight="1">
      <c r="A65" s="13"/>
      <c r="B65" s="62"/>
      <c r="C65" s="58"/>
      <c r="D65" s="59"/>
      <c r="E65" s="17"/>
      <c r="F65" s="60"/>
      <c r="G65" s="60"/>
      <c r="H65" s="61"/>
      <c r="I65" s="62"/>
      <c r="J65" s="22"/>
    </row>
    <row r="66" ht="15.75" customHeight="1">
      <c r="A66" s="13"/>
      <c r="B66" s="62"/>
      <c r="C66" s="58"/>
      <c r="D66" s="59"/>
      <c r="E66" s="17"/>
      <c r="F66" s="60"/>
      <c r="G66" s="60"/>
      <c r="H66" s="61"/>
      <c r="I66" s="62"/>
      <c r="J66" s="22"/>
    </row>
    <row r="67" ht="15.75" customHeight="1">
      <c r="A67" s="13"/>
      <c r="B67" s="62"/>
      <c r="C67" s="58"/>
      <c r="D67" s="59"/>
      <c r="E67" s="17"/>
      <c r="F67" s="60"/>
      <c r="G67" s="60"/>
      <c r="H67" s="61"/>
      <c r="I67" s="62"/>
      <c r="J67" s="22"/>
    </row>
    <row r="68" ht="15.75" customHeight="1">
      <c r="A68" s="13"/>
      <c r="B68" s="62"/>
      <c r="C68" s="58"/>
      <c r="D68" s="59"/>
      <c r="E68" s="17"/>
      <c r="F68" s="60"/>
      <c r="G68" s="60"/>
      <c r="H68" s="61"/>
      <c r="I68" s="62"/>
      <c r="J68" s="22"/>
    </row>
    <row r="69" ht="15.75" customHeight="1">
      <c r="A69" s="13"/>
      <c r="B69" s="62"/>
      <c r="C69" s="58"/>
      <c r="D69" s="59"/>
      <c r="E69" s="17"/>
      <c r="F69" s="60"/>
      <c r="G69" s="60"/>
      <c r="H69" s="61"/>
      <c r="I69" s="62"/>
      <c r="J69" s="22"/>
    </row>
    <row r="70" ht="15.75" customHeight="1">
      <c r="A70" s="13"/>
      <c r="B70" s="62"/>
      <c r="C70" s="58"/>
      <c r="D70" s="59"/>
      <c r="E70" s="17"/>
      <c r="F70" s="60"/>
      <c r="G70" s="60"/>
      <c r="H70" s="61"/>
      <c r="I70" s="62"/>
      <c r="J70" s="22"/>
    </row>
    <row r="71" ht="15.75" customHeight="1">
      <c r="A71" s="13"/>
      <c r="B71" s="62"/>
      <c r="C71" s="58"/>
      <c r="D71" s="59"/>
      <c r="E71" s="17"/>
      <c r="F71" s="60"/>
      <c r="G71" s="60"/>
      <c r="H71" s="61"/>
      <c r="I71" s="62"/>
      <c r="J71" s="22"/>
    </row>
    <row r="72" ht="15.75" customHeight="1">
      <c r="A72" s="13"/>
      <c r="B72" s="62"/>
      <c r="C72" s="58"/>
      <c r="D72" s="59"/>
      <c r="E72" s="17"/>
      <c r="F72" s="60"/>
      <c r="G72" s="60"/>
      <c r="H72" s="61"/>
      <c r="I72" s="62"/>
      <c r="J72" s="22"/>
    </row>
    <row r="73" ht="15.75" customHeight="1">
      <c r="A73" s="13"/>
      <c r="B73" s="62"/>
      <c r="C73" s="58"/>
      <c r="D73" s="59"/>
      <c r="E73" s="17"/>
      <c r="F73" s="60"/>
      <c r="G73" s="60"/>
      <c r="H73" s="61"/>
      <c r="I73" s="62"/>
      <c r="J73" s="22"/>
    </row>
    <row r="74" ht="15.75" customHeight="1">
      <c r="A74" s="13"/>
      <c r="B74" s="62"/>
      <c r="C74" s="58"/>
      <c r="D74" s="59"/>
      <c r="E74" s="17"/>
      <c r="F74" s="60"/>
      <c r="G74" s="60"/>
      <c r="H74" s="61"/>
      <c r="I74" s="62"/>
      <c r="J74" s="22"/>
    </row>
    <row r="75" ht="15.75" customHeight="1">
      <c r="A75" s="13"/>
      <c r="B75" s="62"/>
      <c r="C75" s="58"/>
      <c r="D75" s="59"/>
      <c r="E75" s="17"/>
      <c r="F75" s="60"/>
      <c r="G75" s="60"/>
      <c r="H75" s="61"/>
      <c r="I75" s="62"/>
      <c r="J75" s="22"/>
    </row>
    <row r="76" ht="15.75" customHeight="1">
      <c r="A76" s="13"/>
      <c r="B76" s="62"/>
      <c r="C76" s="58"/>
      <c r="D76" s="59"/>
      <c r="E76" s="17"/>
      <c r="F76" s="60"/>
      <c r="G76" s="60"/>
      <c r="H76" s="61"/>
      <c r="I76" s="62"/>
      <c r="J76" s="22"/>
    </row>
    <row r="77" ht="15.75" customHeight="1">
      <c r="A77" s="13"/>
      <c r="B77" s="62"/>
      <c r="C77" s="58"/>
      <c r="D77" s="59"/>
      <c r="E77" s="17"/>
      <c r="F77" s="60"/>
      <c r="G77" s="60"/>
      <c r="H77" s="61"/>
      <c r="I77" s="62"/>
      <c r="J77" s="22"/>
    </row>
    <row r="78" ht="15.75" customHeight="1">
      <c r="A78" s="13"/>
      <c r="B78" s="62"/>
      <c r="C78" s="58"/>
      <c r="D78" s="59"/>
      <c r="E78" s="17"/>
      <c r="F78" s="60"/>
      <c r="G78" s="60"/>
      <c r="H78" s="61"/>
      <c r="I78" s="62"/>
      <c r="J78" s="22"/>
    </row>
    <row r="79" ht="15.75" customHeight="1">
      <c r="A79" s="13"/>
      <c r="B79" s="62"/>
      <c r="C79" s="58"/>
      <c r="D79" s="59"/>
      <c r="E79" s="17"/>
      <c r="F79" s="60"/>
      <c r="G79" s="60"/>
      <c r="H79" s="61"/>
      <c r="I79" s="62"/>
      <c r="J79" s="22"/>
    </row>
    <row r="80" ht="15.75" customHeight="1">
      <c r="A80" s="13"/>
      <c r="B80" s="62"/>
      <c r="C80" s="58"/>
      <c r="D80" s="59"/>
      <c r="E80" s="17"/>
      <c r="F80" s="60"/>
      <c r="G80" s="60"/>
      <c r="H80" s="61"/>
      <c r="I80" s="62"/>
      <c r="J80" s="22"/>
    </row>
    <row r="81" ht="15.75" customHeight="1">
      <c r="A81" s="13"/>
      <c r="B81" s="62"/>
      <c r="C81" s="58"/>
      <c r="D81" s="59"/>
      <c r="E81" s="17"/>
      <c r="F81" s="60"/>
      <c r="G81" s="60"/>
      <c r="H81" s="61"/>
      <c r="I81" s="62"/>
      <c r="J81" s="22"/>
    </row>
    <row r="82" ht="15.75" customHeight="1">
      <c r="A82" s="13"/>
      <c r="B82" s="62"/>
      <c r="C82" s="58"/>
      <c r="D82" s="59"/>
      <c r="E82" s="17"/>
      <c r="F82" s="60"/>
      <c r="G82" s="60"/>
      <c r="H82" s="61"/>
      <c r="I82" s="62"/>
      <c r="J82" s="22"/>
    </row>
    <row r="83" ht="15.75" customHeight="1">
      <c r="A83" s="13"/>
      <c r="B83" s="62"/>
      <c r="C83" s="58"/>
      <c r="D83" s="59"/>
      <c r="E83" s="17"/>
      <c r="F83" s="60"/>
      <c r="G83" s="60"/>
      <c r="H83" s="61"/>
      <c r="I83" s="62"/>
      <c r="J83" s="22"/>
    </row>
    <row r="84" ht="15.75" customHeight="1">
      <c r="A84" s="13"/>
      <c r="B84" s="62"/>
      <c r="C84" s="58"/>
      <c r="D84" s="59"/>
      <c r="E84" s="17"/>
      <c r="F84" s="60"/>
      <c r="G84" s="60"/>
      <c r="H84" s="61"/>
      <c r="I84" s="62"/>
      <c r="J84" s="22"/>
    </row>
    <row r="85" ht="15.75" customHeight="1">
      <c r="A85" s="13"/>
      <c r="B85" s="62"/>
      <c r="C85" s="58"/>
      <c r="D85" s="59"/>
      <c r="E85" s="17"/>
      <c r="F85" s="60"/>
      <c r="G85" s="60"/>
      <c r="H85" s="61"/>
      <c r="I85" s="62"/>
      <c r="J85" s="22"/>
    </row>
    <row r="86" ht="15.75" customHeight="1">
      <c r="A86" s="13"/>
      <c r="B86" s="62"/>
      <c r="C86" s="58"/>
      <c r="D86" s="59"/>
      <c r="E86" s="17"/>
      <c r="F86" s="60"/>
      <c r="G86" s="60"/>
      <c r="H86" s="61"/>
      <c r="I86" s="62"/>
      <c r="J86" s="22"/>
    </row>
    <row r="87" ht="15.75" customHeight="1">
      <c r="A87" s="13"/>
      <c r="B87" s="62"/>
      <c r="C87" s="58"/>
      <c r="D87" s="59"/>
      <c r="E87" s="17"/>
      <c r="F87" s="60"/>
      <c r="G87" s="60"/>
      <c r="H87" s="61"/>
      <c r="I87" s="62"/>
      <c r="J87" s="22"/>
    </row>
    <row r="88" ht="15.75" customHeight="1">
      <c r="A88" s="13"/>
      <c r="B88" s="62"/>
      <c r="C88" s="58"/>
      <c r="D88" s="59"/>
      <c r="E88" s="17"/>
      <c r="F88" s="60"/>
      <c r="G88" s="60"/>
      <c r="H88" s="61"/>
      <c r="I88" s="62"/>
      <c r="J88" s="22"/>
    </row>
    <row r="89" ht="15.75" customHeight="1">
      <c r="A89" s="13"/>
      <c r="B89" s="62"/>
      <c r="C89" s="58"/>
      <c r="D89" s="59"/>
      <c r="E89" s="17"/>
      <c r="F89" s="60"/>
      <c r="G89" s="60"/>
      <c r="H89" s="61"/>
      <c r="I89" s="62"/>
      <c r="J89" s="22"/>
    </row>
    <row r="90" ht="15.75" customHeight="1">
      <c r="A90" s="13"/>
      <c r="B90" s="62"/>
      <c r="C90" s="58"/>
      <c r="D90" s="59"/>
      <c r="E90" s="17"/>
      <c r="F90" s="60"/>
      <c r="G90" s="60"/>
      <c r="H90" s="61"/>
      <c r="I90" s="62"/>
      <c r="J90" s="22"/>
    </row>
    <row r="91" ht="15.75" customHeight="1">
      <c r="A91" s="13"/>
      <c r="B91" s="62"/>
      <c r="C91" s="58"/>
      <c r="D91" s="59"/>
      <c r="E91" s="17"/>
      <c r="F91" s="60"/>
      <c r="G91" s="60"/>
      <c r="H91" s="61"/>
      <c r="I91" s="62"/>
      <c r="J91" s="22"/>
    </row>
    <row r="92" ht="15.75" customHeight="1">
      <c r="A92" s="13"/>
      <c r="B92" s="62"/>
      <c r="C92" s="58"/>
      <c r="D92" s="59"/>
      <c r="E92" s="17"/>
      <c r="F92" s="60"/>
      <c r="G92" s="60"/>
      <c r="H92" s="61"/>
      <c r="I92" s="62"/>
      <c r="J92" s="22"/>
    </row>
    <row r="93" ht="15.75" customHeight="1">
      <c r="A93" s="13"/>
      <c r="B93" s="62"/>
      <c r="C93" s="58"/>
      <c r="D93" s="59"/>
      <c r="E93" s="17"/>
      <c r="F93" s="60"/>
      <c r="G93" s="60"/>
      <c r="H93" s="61"/>
      <c r="I93" s="62"/>
      <c r="J93" s="22"/>
    </row>
    <row r="94" ht="15.75" customHeight="1">
      <c r="A94" s="13"/>
      <c r="B94" s="62"/>
      <c r="C94" s="58"/>
      <c r="D94" s="59"/>
      <c r="E94" s="17"/>
      <c r="F94" s="60"/>
      <c r="G94" s="60"/>
      <c r="H94" s="61"/>
      <c r="I94" s="62"/>
      <c r="J94" s="22"/>
    </row>
    <row r="95" ht="15.75" customHeight="1">
      <c r="A95" s="13"/>
      <c r="B95" s="62"/>
      <c r="C95" s="58"/>
      <c r="D95" s="59"/>
      <c r="E95" s="17"/>
      <c r="F95" s="60"/>
      <c r="G95" s="60"/>
      <c r="H95" s="61"/>
      <c r="I95" s="62"/>
      <c r="J95" s="22"/>
    </row>
    <row r="96" ht="15.75" customHeight="1">
      <c r="A96" s="13"/>
      <c r="B96" s="62"/>
      <c r="C96" s="58"/>
      <c r="D96" s="59"/>
      <c r="E96" s="17"/>
      <c r="F96" s="60"/>
      <c r="G96" s="60"/>
      <c r="H96" s="61"/>
      <c r="I96" s="62"/>
      <c r="J96" s="22"/>
    </row>
    <row r="97" ht="15.75" customHeight="1">
      <c r="A97" s="13"/>
      <c r="B97" s="62"/>
      <c r="C97" s="58"/>
      <c r="D97" s="59"/>
      <c r="E97" s="17"/>
      <c r="F97" s="60"/>
      <c r="G97" s="60"/>
      <c r="H97" s="61"/>
      <c r="I97" s="62"/>
      <c r="J97" s="22"/>
    </row>
    <row r="98" ht="15.75" customHeight="1">
      <c r="A98" s="13"/>
      <c r="B98" s="62"/>
      <c r="C98" s="58"/>
      <c r="D98" s="59"/>
      <c r="E98" s="17"/>
      <c r="F98" s="60"/>
      <c r="G98" s="60"/>
      <c r="H98" s="61"/>
      <c r="I98" s="62"/>
      <c r="J98" s="22"/>
    </row>
    <row r="99" ht="15.75" customHeight="1">
      <c r="A99" s="13"/>
      <c r="B99" s="62"/>
      <c r="C99" s="58"/>
      <c r="D99" s="59"/>
      <c r="E99" s="17"/>
      <c r="F99" s="60"/>
      <c r="G99" s="60"/>
      <c r="H99" s="61"/>
      <c r="I99" s="62"/>
      <c r="J99" s="22"/>
    </row>
    <row r="100" ht="15.75" customHeight="1">
      <c r="A100" s="13"/>
      <c r="B100" s="62"/>
      <c r="C100" s="58"/>
      <c r="D100" s="59"/>
      <c r="E100" s="17"/>
      <c r="F100" s="60"/>
      <c r="G100" s="60"/>
      <c r="H100" s="61"/>
      <c r="I100" s="62"/>
      <c r="J100" s="22"/>
    </row>
    <row r="101" ht="15.75" customHeight="1">
      <c r="A101" s="13"/>
      <c r="B101" s="62"/>
      <c r="C101" s="58"/>
      <c r="D101" s="59"/>
      <c r="E101" s="17"/>
      <c r="F101" s="60"/>
      <c r="G101" s="60"/>
      <c r="H101" s="61"/>
      <c r="I101" s="62"/>
      <c r="J101" s="22"/>
    </row>
    <row r="102" ht="15.75" customHeight="1">
      <c r="A102" s="13"/>
      <c r="B102" s="62"/>
      <c r="C102" s="58"/>
      <c r="D102" s="59"/>
      <c r="E102" s="17"/>
      <c r="F102" s="60"/>
      <c r="G102" s="60"/>
      <c r="H102" s="61"/>
      <c r="I102" s="62"/>
      <c r="J102" s="22"/>
    </row>
    <row r="103" ht="15.75" customHeight="1">
      <c r="A103" s="13"/>
      <c r="B103" s="62"/>
      <c r="C103" s="58"/>
      <c r="D103" s="59"/>
      <c r="E103" s="17"/>
      <c r="F103" s="60"/>
      <c r="G103" s="60"/>
      <c r="H103" s="61"/>
      <c r="I103" s="62"/>
      <c r="J103" s="22"/>
    </row>
    <row r="104" ht="15.75" customHeight="1">
      <c r="A104" s="13"/>
      <c r="B104" s="62"/>
      <c r="C104" s="58"/>
      <c r="D104" s="59"/>
      <c r="E104" s="17"/>
      <c r="F104" s="60"/>
      <c r="G104" s="60"/>
      <c r="H104" s="61"/>
      <c r="I104" s="62"/>
      <c r="J104" s="22"/>
    </row>
    <row r="105" ht="15.75" customHeight="1">
      <c r="A105" s="13"/>
      <c r="B105" s="62"/>
      <c r="C105" s="58"/>
      <c r="D105" s="59"/>
      <c r="E105" s="17"/>
      <c r="F105" s="60"/>
      <c r="G105" s="60"/>
      <c r="H105" s="61"/>
      <c r="I105" s="62"/>
      <c r="J105" s="22"/>
    </row>
    <row r="106" ht="15.75" customHeight="1">
      <c r="A106" s="13"/>
      <c r="B106" s="62"/>
      <c r="C106" s="58"/>
      <c r="D106" s="59"/>
      <c r="E106" s="17"/>
      <c r="F106" s="60"/>
      <c r="G106" s="60"/>
      <c r="H106" s="61"/>
      <c r="I106" s="62"/>
      <c r="J106" s="22"/>
    </row>
    <row r="107" ht="15.75" customHeight="1">
      <c r="A107" s="13"/>
      <c r="B107" s="62"/>
      <c r="C107" s="58"/>
      <c r="D107" s="59"/>
      <c r="E107" s="17"/>
      <c r="F107" s="60"/>
      <c r="G107" s="60"/>
      <c r="H107" s="61"/>
      <c r="I107" s="62"/>
      <c r="J107" s="22"/>
    </row>
    <row r="108" ht="15.75" customHeight="1">
      <c r="A108" s="13"/>
      <c r="B108" s="62"/>
      <c r="C108" s="58"/>
      <c r="D108" s="59"/>
      <c r="E108" s="17"/>
      <c r="F108" s="60"/>
      <c r="G108" s="60"/>
      <c r="H108" s="61"/>
      <c r="I108" s="62"/>
      <c r="J108" s="22"/>
    </row>
    <row r="109" ht="15.75" customHeight="1">
      <c r="A109" s="13"/>
      <c r="B109" s="62"/>
      <c r="C109" s="58"/>
      <c r="D109" s="59"/>
      <c r="E109" s="17"/>
      <c r="F109" s="60"/>
      <c r="G109" s="60"/>
      <c r="H109" s="61"/>
      <c r="I109" s="62"/>
      <c r="J109" s="22"/>
    </row>
    <row r="110" ht="15.75" customHeight="1">
      <c r="A110" s="13"/>
      <c r="B110" s="62"/>
      <c r="C110" s="58"/>
      <c r="D110" s="59"/>
      <c r="E110" s="17"/>
      <c r="F110" s="60"/>
      <c r="G110" s="60"/>
      <c r="H110" s="61"/>
      <c r="I110" s="62"/>
      <c r="J110" s="22"/>
    </row>
    <row r="111" ht="15.75" customHeight="1">
      <c r="A111" s="13"/>
      <c r="B111" s="62"/>
      <c r="C111" s="58"/>
      <c r="D111" s="59"/>
      <c r="E111" s="17"/>
      <c r="F111" s="60"/>
      <c r="G111" s="60"/>
      <c r="H111" s="61"/>
      <c r="I111" s="62"/>
      <c r="J111" s="22"/>
    </row>
    <row r="112" ht="15.75" customHeight="1">
      <c r="A112" s="13"/>
      <c r="B112" s="62"/>
      <c r="C112" s="58"/>
      <c r="D112" s="59"/>
      <c r="E112" s="17"/>
      <c r="F112" s="60"/>
      <c r="G112" s="60"/>
      <c r="H112" s="61"/>
      <c r="I112" s="62"/>
      <c r="J112" s="22"/>
    </row>
    <row r="113" ht="15.75" customHeight="1">
      <c r="A113" s="13"/>
      <c r="B113" s="62"/>
      <c r="C113" s="58"/>
      <c r="D113" s="59"/>
      <c r="E113" s="17"/>
      <c r="F113" s="60"/>
      <c r="G113" s="60"/>
      <c r="H113" s="61"/>
      <c r="I113" s="62"/>
      <c r="J113" s="22"/>
    </row>
    <row r="114" ht="15.75" customHeight="1">
      <c r="A114" s="13"/>
      <c r="B114" s="62"/>
      <c r="C114" s="58"/>
      <c r="D114" s="59"/>
      <c r="E114" s="17"/>
      <c r="F114" s="60"/>
      <c r="G114" s="60"/>
      <c r="H114" s="61"/>
      <c r="I114" s="62"/>
      <c r="J114" s="22"/>
    </row>
    <row r="115" ht="15.75" customHeight="1">
      <c r="A115" s="13"/>
      <c r="B115" s="62"/>
      <c r="C115" s="58"/>
      <c r="D115" s="59"/>
      <c r="E115" s="17"/>
      <c r="F115" s="60"/>
      <c r="G115" s="60"/>
      <c r="H115" s="61"/>
      <c r="I115" s="62"/>
      <c r="J115" s="22"/>
    </row>
    <row r="116" ht="15.75" customHeight="1">
      <c r="A116" s="13"/>
      <c r="B116" s="62"/>
      <c r="C116" s="58"/>
      <c r="D116" s="59"/>
      <c r="E116" s="17"/>
      <c r="F116" s="60"/>
      <c r="G116" s="60"/>
      <c r="H116" s="61"/>
      <c r="I116" s="62"/>
      <c r="J116" s="22"/>
    </row>
    <row r="117" ht="15.75" customHeight="1">
      <c r="A117" s="13"/>
      <c r="B117" s="62"/>
      <c r="C117" s="58"/>
      <c r="D117" s="59"/>
      <c r="E117" s="17"/>
      <c r="F117" s="60"/>
      <c r="G117" s="60"/>
      <c r="H117" s="61"/>
      <c r="I117" s="62"/>
      <c r="J117" s="22"/>
    </row>
    <row r="118" ht="15.75" customHeight="1">
      <c r="A118" s="13"/>
      <c r="B118" s="62"/>
      <c r="C118" s="58"/>
      <c r="D118" s="59"/>
      <c r="E118" s="17"/>
      <c r="F118" s="60"/>
      <c r="G118" s="60"/>
      <c r="H118" s="61"/>
      <c r="I118" s="62"/>
      <c r="J118" s="22"/>
    </row>
    <row r="119" ht="15.75" customHeight="1">
      <c r="A119" s="13"/>
      <c r="B119" s="62"/>
      <c r="C119" s="58"/>
      <c r="D119" s="59"/>
      <c r="E119" s="17"/>
      <c r="F119" s="60"/>
      <c r="G119" s="60"/>
      <c r="H119" s="61"/>
      <c r="I119" s="62"/>
      <c r="J119" s="22"/>
    </row>
    <row r="120" ht="15.75" customHeight="1">
      <c r="A120" s="13"/>
      <c r="B120" s="62"/>
      <c r="C120" s="58"/>
      <c r="D120" s="59"/>
      <c r="E120" s="17"/>
      <c r="F120" s="60"/>
      <c r="G120" s="60"/>
      <c r="H120" s="61"/>
      <c r="I120" s="62"/>
      <c r="J120" s="22"/>
    </row>
    <row r="121" ht="15.75" customHeight="1">
      <c r="A121" s="13"/>
      <c r="B121" s="62"/>
      <c r="C121" s="58"/>
      <c r="D121" s="59"/>
      <c r="E121" s="17"/>
      <c r="F121" s="60"/>
      <c r="G121" s="60"/>
      <c r="H121" s="61"/>
      <c r="I121" s="62"/>
      <c r="J121" s="22"/>
    </row>
    <row r="122" ht="15.75" customHeight="1">
      <c r="A122" s="13"/>
      <c r="B122" s="62"/>
      <c r="C122" s="58"/>
      <c r="D122" s="59"/>
      <c r="E122" s="17"/>
      <c r="F122" s="60"/>
      <c r="G122" s="60"/>
      <c r="H122" s="61"/>
      <c r="I122" s="62"/>
      <c r="J122" s="22"/>
    </row>
    <row r="123" ht="15.75" customHeight="1">
      <c r="A123" s="13"/>
      <c r="B123" s="62"/>
      <c r="C123" s="58"/>
      <c r="D123" s="59"/>
      <c r="E123" s="17"/>
      <c r="F123" s="60"/>
      <c r="G123" s="60"/>
      <c r="H123" s="61"/>
      <c r="I123" s="62"/>
      <c r="J123" s="22"/>
    </row>
    <row r="124" ht="15.75" customHeight="1">
      <c r="A124" s="13"/>
      <c r="B124" s="62"/>
      <c r="C124" s="58"/>
      <c r="D124" s="59"/>
      <c r="E124" s="17"/>
      <c r="F124" s="60"/>
      <c r="G124" s="60"/>
      <c r="H124" s="61"/>
      <c r="I124" s="62"/>
      <c r="J124" s="22"/>
    </row>
    <row r="125" ht="15.75" customHeight="1">
      <c r="A125" s="13"/>
      <c r="B125" s="62"/>
      <c r="C125" s="58"/>
      <c r="D125" s="59"/>
      <c r="E125" s="17"/>
      <c r="F125" s="60"/>
      <c r="G125" s="60"/>
      <c r="H125" s="61"/>
      <c r="I125" s="62"/>
      <c r="J125" s="22"/>
    </row>
    <row r="126" ht="15.75" customHeight="1">
      <c r="A126" s="13"/>
      <c r="B126" s="62"/>
      <c r="C126" s="58"/>
      <c r="D126" s="59"/>
      <c r="E126" s="17"/>
      <c r="F126" s="60"/>
      <c r="G126" s="60"/>
      <c r="H126" s="61"/>
      <c r="I126" s="62"/>
      <c r="J126" s="22"/>
    </row>
    <row r="127" ht="15.75" customHeight="1">
      <c r="A127" s="13"/>
      <c r="B127" s="62"/>
      <c r="C127" s="58"/>
      <c r="D127" s="59"/>
      <c r="E127" s="17"/>
      <c r="F127" s="60"/>
      <c r="G127" s="60"/>
      <c r="H127" s="61"/>
      <c r="I127" s="62"/>
      <c r="J127" s="22"/>
    </row>
    <row r="128" ht="15.75" customHeight="1">
      <c r="A128" s="13"/>
      <c r="B128" s="62"/>
      <c r="C128" s="58"/>
      <c r="D128" s="59"/>
      <c r="E128" s="17"/>
      <c r="F128" s="60"/>
      <c r="G128" s="60"/>
      <c r="H128" s="61"/>
      <c r="I128" s="62"/>
      <c r="J128" s="22"/>
    </row>
    <row r="129" ht="15.75" customHeight="1">
      <c r="A129" s="13"/>
      <c r="B129" s="62"/>
      <c r="C129" s="58"/>
      <c r="D129" s="59"/>
      <c r="E129" s="17"/>
      <c r="F129" s="60"/>
      <c r="G129" s="60"/>
      <c r="H129" s="61"/>
      <c r="I129" s="62"/>
      <c r="J129" s="22"/>
    </row>
    <row r="130" ht="15.75" customHeight="1">
      <c r="A130" s="13"/>
      <c r="B130" s="62"/>
      <c r="C130" s="58"/>
      <c r="D130" s="59"/>
      <c r="E130" s="17"/>
      <c r="F130" s="60"/>
      <c r="G130" s="60"/>
      <c r="H130" s="61"/>
      <c r="I130" s="62"/>
      <c r="J130" s="22"/>
    </row>
    <row r="131" ht="15.75" customHeight="1">
      <c r="A131" s="13"/>
      <c r="B131" s="62"/>
      <c r="C131" s="58"/>
      <c r="D131" s="59"/>
      <c r="E131" s="17"/>
      <c r="F131" s="60"/>
      <c r="G131" s="60"/>
      <c r="H131" s="61"/>
      <c r="I131" s="62"/>
      <c r="J131" s="22"/>
    </row>
    <row r="132" ht="15.75" customHeight="1">
      <c r="A132" s="13"/>
      <c r="B132" s="62"/>
      <c r="C132" s="58"/>
      <c r="D132" s="59"/>
      <c r="E132" s="17"/>
      <c r="F132" s="60"/>
      <c r="G132" s="60"/>
      <c r="H132" s="61"/>
      <c r="I132" s="62"/>
      <c r="J132" s="22"/>
    </row>
    <row r="133" ht="15.75" customHeight="1">
      <c r="A133" s="13"/>
      <c r="B133" s="62"/>
      <c r="C133" s="58"/>
      <c r="D133" s="59"/>
      <c r="E133" s="17"/>
      <c r="F133" s="60"/>
      <c r="G133" s="60"/>
      <c r="H133" s="61"/>
      <c r="I133" s="62"/>
      <c r="J133" s="22"/>
    </row>
    <row r="134" ht="15.75" customHeight="1">
      <c r="A134" s="13"/>
      <c r="B134" s="62"/>
      <c r="C134" s="58"/>
      <c r="D134" s="59"/>
      <c r="E134" s="17"/>
      <c r="F134" s="60"/>
      <c r="G134" s="60"/>
      <c r="H134" s="61"/>
      <c r="I134" s="62"/>
      <c r="J134" s="22"/>
    </row>
    <row r="135" ht="15.75" customHeight="1">
      <c r="A135" s="13"/>
      <c r="B135" s="62"/>
      <c r="C135" s="58"/>
      <c r="D135" s="59"/>
      <c r="E135" s="17"/>
      <c r="F135" s="60"/>
      <c r="G135" s="60"/>
      <c r="H135" s="61"/>
      <c r="I135" s="62"/>
      <c r="J135" s="22"/>
    </row>
    <row r="136" ht="15.75" customHeight="1">
      <c r="A136" s="13"/>
      <c r="B136" s="62"/>
      <c r="C136" s="58"/>
      <c r="D136" s="59"/>
      <c r="E136" s="17"/>
      <c r="F136" s="60"/>
      <c r="G136" s="60"/>
      <c r="H136" s="61"/>
      <c r="I136" s="62"/>
      <c r="J136" s="22"/>
    </row>
    <row r="137" ht="15.75" customHeight="1">
      <c r="A137" s="13"/>
      <c r="B137" s="62"/>
      <c r="C137" s="58"/>
      <c r="D137" s="59"/>
      <c r="E137" s="17"/>
      <c r="F137" s="60"/>
      <c r="G137" s="60"/>
      <c r="H137" s="61"/>
      <c r="I137" s="62"/>
      <c r="J137" s="22"/>
    </row>
    <row r="138" ht="15.75" customHeight="1">
      <c r="A138" s="13"/>
      <c r="B138" s="62"/>
      <c r="C138" s="58"/>
      <c r="D138" s="59"/>
      <c r="E138" s="17"/>
      <c r="F138" s="60"/>
      <c r="G138" s="60"/>
      <c r="H138" s="61"/>
      <c r="I138" s="62"/>
      <c r="J138" s="22"/>
    </row>
    <row r="139" ht="15.75" customHeight="1">
      <c r="A139" s="13"/>
      <c r="B139" s="62"/>
      <c r="C139" s="58"/>
      <c r="D139" s="59"/>
      <c r="E139" s="17"/>
      <c r="F139" s="60"/>
      <c r="G139" s="60"/>
      <c r="H139" s="61"/>
      <c r="I139" s="62"/>
      <c r="J139" s="22"/>
    </row>
    <row r="140" ht="15.75" customHeight="1">
      <c r="A140" s="13"/>
      <c r="B140" s="62"/>
      <c r="C140" s="58"/>
      <c r="D140" s="59"/>
      <c r="E140" s="17"/>
      <c r="F140" s="60"/>
      <c r="G140" s="60"/>
      <c r="H140" s="61"/>
      <c r="I140" s="62"/>
      <c r="J140" s="22"/>
    </row>
    <row r="141" ht="15.75" customHeight="1">
      <c r="A141" s="13"/>
      <c r="B141" s="62"/>
      <c r="C141" s="58"/>
      <c r="D141" s="59"/>
      <c r="E141" s="17"/>
      <c r="F141" s="60"/>
      <c r="G141" s="60"/>
      <c r="H141" s="61"/>
      <c r="I141" s="62"/>
      <c r="J141" s="22"/>
    </row>
    <row r="142" ht="15.75" customHeight="1">
      <c r="A142" s="13"/>
      <c r="B142" s="62"/>
      <c r="C142" s="58"/>
      <c r="D142" s="59"/>
      <c r="E142" s="17"/>
      <c r="F142" s="60"/>
      <c r="G142" s="60"/>
      <c r="H142" s="61"/>
      <c r="I142" s="62"/>
      <c r="J142" s="22"/>
    </row>
    <row r="143" ht="15.75" customHeight="1">
      <c r="A143" s="13"/>
      <c r="B143" s="62"/>
      <c r="C143" s="58"/>
      <c r="D143" s="59"/>
      <c r="E143" s="17"/>
      <c r="F143" s="60"/>
      <c r="G143" s="60"/>
      <c r="H143" s="61"/>
      <c r="I143" s="62"/>
      <c r="J143" s="22"/>
    </row>
    <row r="144" ht="15.75" customHeight="1">
      <c r="A144" s="13"/>
      <c r="B144" s="62"/>
      <c r="C144" s="58"/>
      <c r="D144" s="59"/>
      <c r="E144" s="17"/>
      <c r="F144" s="60"/>
      <c r="G144" s="60"/>
      <c r="H144" s="61"/>
      <c r="I144" s="62"/>
      <c r="J144" s="22"/>
    </row>
    <row r="145" ht="15.75" customHeight="1">
      <c r="A145" s="13"/>
      <c r="B145" s="62"/>
      <c r="C145" s="58"/>
      <c r="D145" s="59"/>
      <c r="E145" s="17"/>
      <c r="F145" s="60"/>
      <c r="G145" s="60"/>
      <c r="H145" s="61"/>
      <c r="I145" s="62"/>
      <c r="J145" s="22"/>
    </row>
    <row r="146" ht="15.75" customHeight="1">
      <c r="A146" s="13"/>
      <c r="B146" s="62"/>
      <c r="C146" s="58"/>
      <c r="D146" s="59"/>
      <c r="E146" s="17"/>
      <c r="F146" s="60"/>
      <c r="G146" s="60"/>
      <c r="H146" s="61"/>
      <c r="I146" s="62"/>
      <c r="J146" s="22"/>
    </row>
    <row r="147" ht="15.75" customHeight="1">
      <c r="A147" s="13"/>
      <c r="B147" s="62"/>
      <c r="C147" s="58"/>
      <c r="D147" s="59"/>
      <c r="E147" s="17"/>
      <c r="F147" s="60"/>
      <c r="G147" s="60"/>
      <c r="H147" s="61"/>
      <c r="I147" s="62"/>
      <c r="J147" s="22"/>
    </row>
    <row r="148" ht="15.75" customHeight="1">
      <c r="A148" s="13"/>
      <c r="B148" s="62"/>
      <c r="C148" s="58"/>
      <c r="D148" s="59"/>
      <c r="E148" s="17"/>
      <c r="F148" s="60"/>
      <c r="G148" s="60"/>
      <c r="H148" s="61"/>
      <c r="I148" s="62"/>
      <c r="J148" s="22"/>
    </row>
    <row r="149" ht="15.75" customHeight="1">
      <c r="A149" s="13"/>
      <c r="B149" s="62"/>
      <c r="C149" s="58"/>
      <c r="D149" s="59"/>
      <c r="E149" s="17"/>
      <c r="F149" s="60"/>
      <c r="G149" s="60"/>
      <c r="H149" s="61"/>
      <c r="I149" s="62"/>
      <c r="J149" s="22"/>
    </row>
    <row r="150" ht="15.75" customHeight="1">
      <c r="A150" s="13"/>
      <c r="B150" s="62"/>
      <c r="C150" s="58"/>
      <c r="D150" s="59"/>
      <c r="E150" s="17"/>
      <c r="F150" s="60"/>
      <c r="G150" s="60"/>
      <c r="H150" s="61"/>
      <c r="I150" s="62"/>
      <c r="J150" s="22"/>
    </row>
    <row r="151" ht="15.75" customHeight="1">
      <c r="A151" s="13"/>
      <c r="B151" s="62"/>
      <c r="C151" s="58"/>
      <c r="D151" s="59"/>
      <c r="E151" s="17"/>
      <c r="F151" s="60"/>
      <c r="G151" s="60"/>
      <c r="H151" s="61"/>
      <c r="I151" s="62"/>
      <c r="J151" s="22"/>
    </row>
    <row r="152" ht="15.75" customHeight="1">
      <c r="A152" s="13"/>
      <c r="B152" s="62"/>
      <c r="C152" s="58"/>
      <c r="D152" s="59"/>
      <c r="E152" s="17"/>
      <c r="F152" s="60"/>
      <c r="G152" s="60"/>
      <c r="H152" s="61"/>
      <c r="I152" s="62"/>
      <c r="J152" s="22"/>
    </row>
    <row r="153" ht="15.75" customHeight="1">
      <c r="A153" s="13"/>
      <c r="B153" s="62"/>
      <c r="C153" s="58"/>
      <c r="D153" s="59"/>
      <c r="E153" s="17"/>
      <c r="F153" s="60"/>
      <c r="G153" s="60"/>
      <c r="H153" s="61"/>
      <c r="I153" s="62"/>
      <c r="J153" s="22"/>
    </row>
    <row r="154" ht="15.75" customHeight="1">
      <c r="A154" s="13"/>
      <c r="B154" s="62"/>
      <c r="C154" s="58"/>
      <c r="D154" s="59"/>
      <c r="E154" s="17"/>
      <c r="F154" s="60"/>
      <c r="G154" s="60"/>
      <c r="H154" s="61"/>
      <c r="I154" s="62"/>
      <c r="J154" s="22"/>
    </row>
    <row r="155" ht="15.75" customHeight="1">
      <c r="A155" s="13"/>
      <c r="B155" s="62"/>
      <c r="C155" s="58"/>
      <c r="D155" s="59"/>
      <c r="E155" s="17"/>
      <c r="F155" s="60"/>
      <c r="G155" s="60"/>
      <c r="H155" s="61"/>
      <c r="I155" s="62"/>
      <c r="J155" s="22"/>
    </row>
    <row r="156" ht="15.75" customHeight="1">
      <c r="A156" s="13"/>
      <c r="B156" s="62"/>
      <c r="C156" s="58"/>
      <c r="D156" s="59"/>
      <c r="E156" s="17"/>
      <c r="F156" s="60"/>
      <c r="G156" s="60"/>
      <c r="H156" s="61"/>
      <c r="I156" s="62"/>
      <c r="J156" s="22"/>
    </row>
    <row r="157" ht="15.75" customHeight="1">
      <c r="A157" s="13"/>
      <c r="B157" s="62"/>
      <c r="C157" s="58"/>
      <c r="D157" s="59"/>
      <c r="E157" s="17"/>
      <c r="F157" s="60"/>
      <c r="G157" s="60"/>
      <c r="H157" s="61"/>
      <c r="I157" s="62"/>
      <c r="J157" s="22"/>
    </row>
    <row r="158" ht="15.75" customHeight="1">
      <c r="A158" s="13"/>
      <c r="B158" s="62"/>
      <c r="C158" s="58"/>
      <c r="D158" s="59"/>
      <c r="E158" s="17"/>
      <c r="F158" s="60"/>
      <c r="G158" s="60"/>
      <c r="H158" s="61"/>
      <c r="I158" s="62"/>
      <c r="J158" s="22"/>
    </row>
    <row r="159" ht="15.75" customHeight="1">
      <c r="A159" s="13"/>
      <c r="B159" s="62"/>
      <c r="C159" s="58"/>
      <c r="D159" s="59"/>
      <c r="E159" s="17"/>
      <c r="F159" s="60"/>
      <c r="G159" s="60"/>
      <c r="H159" s="61"/>
      <c r="I159" s="62"/>
      <c r="J159" s="22"/>
    </row>
    <row r="160" ht="15.75" customHeight="1">
      <c r="A160" s="13"/>
      <c r="B160" s="62"/>
      <c r="C160" s="58"/>
      <c r="D160" s="59"/>
      <c r="E160" s="17"/>
      <c r="F160" s="60"/>
      <c r="G160" s="60"/>
      <c r="H160" s="61"/>
      <c r="I160" s="62"/>
      <c r="J160" s="22"/>
    </row>
    <row r="161" ht="15.75" customHeight="1">
      <c r="A161" s="13"/>
      <c r="B161" s="62"/>
      <c r="C161" s="58"/>
      <c r="D161" s="59"/>
      <c r="E161" s="17"/>
      <c r="F161" s="60"/>
      <c r="G161" s="60"/>
      <c r="H161" s="61"/>
      <c r="I161" s="62"/>
      <c r="J161" s="22"/>
    </row>
    <row r="162" ht="15.75" customHeight="1">
      <c r="A162" s="13"/>
      <c r="B162" s="62"/>
      <c r="C162" s="58"/>
      <c r="D162" s="59"/>
      <c r="E162" s="17"/>
      <c r="F162" s="60"/>
      <c r="G162" s="60"/>
      <c r="H162" s="61"/>
      <c r="I162" s="62"/>
      <c r="J162" s="22"/>
    </row>
    <row r="163" ht="15.75" customHeight="1">
      <c r="A163" s="13"/>
      <c r="B163" s="62"/>
      <c r="C163" s="58"/>
      <c r="D163" s="59"/>
      <c r="E163" s="17"/>
      <c r="F163" s="60"/>
      <c r="G163" s="60"/>
      <c r="H163" s="61"/>
      <c r="I163" s="62"/>
      <c r="J163" s="22"/>
    </row>
    <row r="164" ht="15.75" customHeight="1">
      <c r="A164" s="13"/>
      <c r="B164" s="62"/>
      <c r="C164" s="58"/>
      <c r="D164" s="59"/>
      <c r="E164" s="17"/>
      <c r="F164" s="60"/>
      <c r="G164" s="60"/>
      <c r="H164" s="61"/>
      <c r="I164" s="62"/>
      <c r="J164" s="22"/>
    </row>
    <row r="165" ht="15.75" customHeight="1">
      <c r="A165" s="13"/>
      <c r="B165" s="62"/>
      <c r="C165" s="58"/>
      <c r="D165" s="59"/>
      <c r="E165" s="17"/>
      <c r="F165" s="60"/>
      <c r="G165" s="60"/>
      <c r="H165" s="61"/>
      <c r="I165" s="62"/>
      <c r="J165" s="22"/>
    </row>
    <row r="166" ht="15.75" customHeight="1">
      <c r="A166" s="13"/>
      <c r="B166" s="62"/>
      <c r="C166" s="58"/>
      <c r="D166" s="59"/>
      <c r="E166" s="17"/>
      <c r="F166" s="60"/>
      <c r="G166" s="60"/>
      <c r="H166" s="61"/>
      <c r="I166" s="62"/>
      <c r="J166" s="22"/>
    </row>
    <row r="167" ht="15.75" customHeight="1">
      <c r="A167" s="13"/>
      <c r="B167" s="62"/>
      <c r="C167" s="58"/>
      <c r="D167" s="59"/>
      <c r="E167" s="17"/>
      <c r="F167" s="60"/>
      <c r="G167" s="60"/>
      <c r="H167" s="61"/>
      <c r="I167" s="62"/>
      <c r="J167" s="22"/>
    </row>
    <row r="168" ht="15.75" customHeight="1">
      <c r="A168" s="13"/>
      <c r="B168" s="62"/>
      <c r="C168" s="58"/>
      <c r="D168" s="59"/>
      <c r="E168" s="17"/>
      <c r="F168" s="60"/>
      <c r="G168" s="60"/>
      <c r="H168" s="61"/>
      <c r="I168" s="62"/>
      <c r="J168" s="22"/>
    </row>
    <row r="169" ht="15.75" customHeight="1">
      <c r="A169" s="13"/>
      <c r="B169" s="62"/>
      <c r="C169" s="58"/>
      <c r="D169" s="59"/>
      <c r="E169" s="17"/>
      <c r="F169" s="60"/>
      <c r="G169" s="60"/>
      <c r="H169" s="61"/>
      <c r="I169" s="62"/>
      <c r="J169" s="22"/>
    </row>
    <row r="170" ht="15.75" customHeight="1">
      <c r="A170" s="13"/>
      <c r="B170" s="62"/>
      <c r="C170" s="58"/>
      <c r="D170" s="59"/>
      <c r="E170" s="17"/>
      <c r="F170" s="60"/>
      <c r="G170" s="60"/>
      <c r="H170" s="61"/>
      <c r="I170" s="62"/>
      <c r="J170" s="22"/>
    </row>
    <row r="171" ht="15.75" customHeight="1">
      <c r="A171" s="13"/>
      <c r="B171" s="62"/>
      <c r="C171" s="58"/>
      <c r="D171" s="59"/>
      <c r="E171" s="17"/>
      <c r="F171" s="60"/>
      <c r="G171" s="60"/>
      <c r="H171" s="61"/>
      <c r="I171" s="62"/>
      <c r="J171" s="22"/>
    </row>
    <row r="172" ht="15.75" customHeight="1">
      <c r="A172" s="13"/>
      <c r="B172" s="62"/>
      <c r="C172" s="58"/>
      <c r="D172" s="59"/>
      <c r="E172" s="17"/>
      <c r="F172" s="60"/>
      <c r="G172" s="60"/>
      <c r="H172" s="61"/>
      <c r="I172" s="62"/>
      <c r="J172" s="22"/>
    </row>
    <row r="173" ht="15.75" customHeight="1">
      <c r="A173" s="13"/>
      <c r="B173" s="62"/>
      <c r="C173" s="58"/>
      <c r="D173" s="59"/>
      <c r="E173" s="17"/>
      <c r="F173" s="60"/>
      <c r="G173" s="60"/>
      <c r="H173" s="61"/>
      <c r="I173" s="62"/>
      <c r="J173" s="22"/>
    </row>
    <row r="174" ht="15.75" customHeight="1">
      <c r="A174" s="13"/>
      <c r="B174" s="62"/>
      <c r="C174" s="58"/>
      <c r="D174" s="59"/>
      <c r="E174" s="17"/>
      <c r="F174" s="60"/>
      <c r="G174" s="60"/>
      <c r="H174" s="61"/>
      <c r="I174" s="62"/>
      <c r="J174" s="22"/>
    </row>
    <row r="175" ht="15.75" customHeight="1">
      <c r="A175" s="13"/>
      <c r="B175" s="62"/>
      <c r="C175" s="58"/>
      <c r="D175" s="59"/>
      <c r="E175" s="17"/>
      <c r="F175" s="60"/>
      <c r="G175" s="60"/>
      <c r="H175" s="61"/>
      <c r="I175" s="62"/>
      <c r="J175" s="22"/>
    </row>
    <row r="176" ht="15.75" customHeight="1">
      <c r="A176" s="13"/>
      <c r="B176" s="62"/>
      <c r="C176" s="58"/>
      <c r="D176" s="59"/>
      <c r="E176" s="17"/>
      <c r="F176" s="60"/>
      <c r="G176" s="60"/>
      <c r="H176" s="61"/>
      <c r="I176" s="62"/>
      <c r="J176" s="22"/>
    </row>
    <row r="177" ht="15.75" customHeight="1">
      <c r="A177" s="13"/>
      <c r="B177" s="62"/>
      <c r="C177" s="58"/>
      <c r="D177" s="59"/>
      <c r="E177" s="17"/>
      <c r="F177" s="60"/>
      <c r="G177" s="60"/>
      <c r="H177" s="61"/>
      <c r="I177" s="62"/>
      <c r="J177" s="22"/>
    </row>
    <row r="178" ht="15.75" customHeight="1">
      <c r="A178" s="13"/>
      <c r="B178" s="62"/>
      <c r="C178" s="58"/>
      <c r="D178" s="59"/>
      <c r="E178" s="17"/>
      <c r="F178" s="60"/>
      <c r="G178" s="60"/>
      <c r="H178" s="61"/>
      <c r="I178" s="62"/>
      <c r="J178" s="22"/>
    </row>
    <row r="179" ht="15.75" customHeight="1">
      <c r="A179" s="13"/>
      <c r="B179" s="62"/>
      <c r="C179" s="58"/>
      <c r="D179" s="59"/>
      <c r="E179" s="17"/>
      <c r="F179" s="60"/>
      <c r="G179" s="60"/>
      <c r="H179" s="61"/>
      <c r="I179" s="62"/>
      <c r="J179" s="22"/>
    </row>
    <row r="180" ht="15.75" customHeight="1">
      <c r="A180" s="13"/>
      <c r="B180" s="62"/>
      <c r="C180" s="58"/>
      <c r="D180" s="59"/>
      <c r="E180" s="17"/>
      <c r="F180" s="60"/>
      <c r="G180" s="60"/>
      <c r="H180" s="61"/>
      <c r="I180" s="62"/>
      <c r="J180" s="22"/>
    </row>
    <row r="181" ht="15.75" customHeight="1">
      <c r="A181" s="13"/>
      <c r="B181" s="62"/>
      <c r="C181" s="58"/>
      <c r="D181" s="59"/>
      <c r="E181" s="17"/>
      <c r="F181" s="60"/>
      <c r="G181" s="60"/>
      <c r="H181" s="61"/>
      <c r="I181" s="62"/>
      <c r="J181" s="22"/>
    </row>
    <row r="182" ht="15.75" customHeight="1">
      <c r="A182" s="13"/>
      <c r="B182" s="62"/>
      <c r="C182" s="58"/>
      <c r="D182" s="59"/>
      <c r="E182" s="17"/>
      <c r="F182" s="60"/>
      <c r="G182" s="60"/>
      <c r="H182" s="61"/>
      <c r="I182" s="62"/>
      <c r="J182" s="22"/>
    </row>
    <row r="183" ht="15.75" customHeight="1">
      <c r="A183" s="13"/>
      <c r="B183" s="62"/>
      <c r="C183" s="58"/>
      <c r="D183" s="59"/>
      <c r="E183" s="17"/>
      <c r="F183" s="60"/>
      <c r="G183" s="60"/>
      <c r="H183" s="61"/>
      <c r="I183" s="62"/>
      <c r="J183" s="22"/>
    </row>
    <row r="184" ht="15.75" customHeight="1">
      <c r="A184" s="13"/>
      <c r="B184" s="62"/>
      <c r="C184" s="58"/>
      <c r="D184" s="59"/>
      <c r="E184" s="17"/>
      <c r="F184" s="60"/>
      <c r="G184" s="60"/>
      <c r="H184" s="61"/>
      <c r="I184" s="62"/>
      <c r="J184" s="22"/>
    </row>
    <row r="185" ht="15.75" customHeight="1">
      <c r="A185" s="13"/>
      <c r="B185" s="62"/>
      <c r="C185" s="58"/>
      <c r="D185" s="59"/>
      <c r="E185" s="17"/>
      <c r="F185" s="60"/>
      <c r="G185" s="60"/>
      <c r="H185" s="61"/>
      <c r="I185" s="62"/>
      <c r="J185" s="22"/>
    </row>
    <row r="186" ht="15.75" customHeight="1">
      <c r="A186" s="13"/>
      <c r="B186" s="62"/>
      <c r="C186" s="58"/>
      <c r="D186" s="59"/>
      <c r="E186" s="17"/>
      <c r="F186" s="60"/>
      <c r="G186" s="60"/>
      <c r="H186" s="61"/>
      <c r="I186" s="62"/>
      <c r="J186" s="22"/>
    </row>
    <row r="187" ht="15.75" customHeight="1">
      <c r="A187" s="13"/>
      <c r="B187" s="62"/>
      <c r="C187" s="58"/>
      <c r="D187" s="59"/>
      <c r="E187" s="17"/>
      <c r="F187" s="60"/>
      <c r="G187" s="60"/>
      <c r="H187" s="61"/>
      <c r="I187" s="62"/>
      <c r="J187" s="22"/>
    </row>
    <row r="188" ht="15.75" customHeight="1">
      <c r="A188" s="13"/>
      <c r="B188" s="62"/>
      <c r="C188" s="58"/>
      <c r="D188" s="59"/>
      <c r="E188" s="17"/>
      <c r="F188" s="60"/>
      <c r="G188" s="60"/>
      <c r="H188" s="61"/>
      <c r="I188" s="62"/>
      <c r="J188" s="22"/>
    </row>
    <row r="189" ht="15.75" customHeight="1">
      <c r="A189" s="13"/>
      <c r="B189" s="62"/>
      <c r="C189" s="58"/>
      <c r="D189" s="59"/>
      <c r="E189" s="17"/>
      <c r="F189" s="60"/>
      <c r="G189" s="60"/>
      <c r="H189" s="61"/>
      <c r="I189" s="62"/>
      <c r="J189" s="22"/>
    </row>
    <row r="190" ht="15.75" customHeight="1">
      <c r="A190" s="13"/>
      <c r="B190" s="62"/>
      <c r="C190" s="58"/>
      <c r="D190" s="59"/>
      <c r="E190" s="17"/>
      <c r="F190" s="60"/>
      <c r="G190" s="60"/>
      <c r="H190" s="61"/>
      <c r="I190" s="62"/>
      <c r="J190" s="22"/>
    </row>
    <row r="191" ht="15.75" customHeight="1">
      <c r="A191" s="13"/>
      <c r="B191" s="62"/>
      <c r="C191" s="58"/>
      <c r="D191" s="59"/>
      <c r="E191" s="17"/>
      <c r="F191" s="60"/>
      <c r="G191" s="60"/>
      <c r="H191" s="61"/>
      <c r="I191" s="62"/>
      <c r="J191" s="22"/>
    </row>
    <row r="192" ht="15.75" customHeight="1">
      <c r="A192" s="13"/>
      <c r="B192" s="62"/>
      <c r="C192" s="58"/>
      <c r="D192" s="59"/>
      <c r="E192" s="17"/>
      <c r="F192" s="60"/>
      <c r="G192" s="60"/>
      <c r="H192" s="61"/>
      <c r="I192" s="62"/>
      <c r="J192" s="22"/>
    </row>
    <row r="193" ht="15.75" customHeight="1">
      <c r="A193" s="13"/>
      <c r="B193" s="62"/>
      <c r="C193" s="58"/>
      <c r="D193" s="59"/>
      <c r="E193" s="17"/>
      <c r="F193" s="60"/>
      <c r="G193" s="60"/>
      <c r="H193" s="61"/>
      <c r="I193" s="62"/>
      <c r="J193" s="22"/>
    </row>
    <row r="194" ht="15.75" customHeight="1">
      <c r="A194" s="13"/>
      <c r="B194" s="62"/>
      <c r="C194" s="58"/>
      <c r="D194" s="59"/>
      <c r="E194" s="17"/>
      <c r="F194" s="60"/>
      <c r="G194" s="60"/>
      <c r="H194" s="61"/>
      <c r="I194" s="62"/>
      <c r="J194" s="22"/>
    </row>
    <row r="195" ht="15.75" customHeight="1">
      <c r="A195" s="13"/>
      <c r="B195" s="62"/>
      <c r="C195" s="58"/>
      <c r="D195" s="59"/>
      <c r="E195" s="17"/>
      <c r="F195" s="60"/>
      <c r="G195" s="60"/>
      <c r="H195" s="61"/>
      <c r="I195" s="62"/>
      <c r="J195" s="22"/>
    </row>
    <row r="196" ht="15.75" customHeight="1">
      <c r="A196" s="13"/>
      <c r="B196" s="62"/>
      <c r="C196" s="58"/>
      <c r="D196" s="59"/>
      <c r="E196" s="17"/>
      <c r="F196" s="60"/>
      <c r="G196" s="60"/>
      <c r="H196" s="61"/>
      <c r="I196" s="62"/>
      <c r="J196" s="22"/>
    </row>
    <row r="197" ht="15.75" customHeight="1">
      <c r="A197" s="13"/>
      <c r="B197" s="62"/>
      <c r="C197" s="58"/>
      <c r="D197" s="59"/>
      <c r="E197" s="17"/>
      <c r="F197" s="60"/>
      <c r="G197" s="60"/>
      <c r="H197" s="61"/>
      <c r="I197" s="62"/>
      <c r="J197" s="22"/>
    </row>
    <row r="198" ht="15.75" customHeight="1">
      <c r="A198" s="13"/>
      <c r="B198" s="62"/>
      <c r="C198" s="58"/>
      <c r="D198" s="59"/>
      <c r="E198" s="17"/>
      <c r="F198" s="60"/>
      <c r="G198" s="60"/>
      <c r="H198" s="61"/>
      <c r="I198" s="62"/>
      <c r="J198" s="22"/>
    </row>
    <row r="199" ht="15.75" customHeight="1">
      <c r="A199" s="13"/>
      <c r="B199" s="62"/>
      <c r="C199" s="58"/>
      <c r="D199" s="59"/>
      <c r="E199" s="17"/>
      <c r="F199" s="60"/>
      <c r="G199" s="60"/>
      <c r="H199" s="61"/>
      <c r="I199" s="62"/>
      <c r="J199" s="22"/>
    </row>
    <row r="200" ht="15.75" customHeight="1">
      <c r="A200" s="13"/>
      <c r="B200" s="62"/>
      <c r="C200" s="58"/>
      <c r="D200" s="59"/>
      <c r="E200" s="17"/>
      <c r="F200" s="60"/>
      <c r="G200" s="60"/>
      <c r="H200" s="61"/>
      <c r="I200" s="62"/>
      <c r="J200" s="22"/>
    </row>
    <row r="201" ht="15.75" customHeight="1">
      <c r="A201" s="13"/>
      <c r="B201" s="62"/>
      <c r="C201" s="58"/>
      <c r="D201" s="59"/>
      <c r="E201" s="17"/>
      <c r="F201" s="60"/>
      <c r="G201" s="60"/>
      <c r="H201" s="61"/>
      <c r="I201" s="62"/>
      <c r="J201" s="22"/>
    </row>
    <row r="202" ht="15.75" customHeight="1">
      <c r="A202" s="13"/>
      <c r="B202" s="62"/>
      <c r="C202" s="58"/>
      <c r="D202" s="59"/>
      <c r="E202" s="17"/>
      <c r="F202" s="60"/>
      <c r="G202" s="60"/>
      <c r="H202" s="61"/>
      <c r="I202" s="62"/>
      <c r="J202" s="22"/>
    </row>
    <row r="203" ht="15.75" customHeight="1">
      <c r="A203" s="13"/>
      <c r="B203" s="62"/>
      <c r="C203" s="58"/>
      <c r="D203" s="59"/>
      <c r="E203" s="17"/>
      <c r="F203" s="60"/>
      <c r="G203" s="60"/>
      <c r="H203" s="61"/>
      <c r="I203" s="62"/>
      <c r="J203" s="22"/>
    </row>
    <row r="204" ht="15.75" customHeight="1">
      <c r="A204" s="13"/>
      <c r="B204" s="62"/>
      <c r="C204" s="58"/>
      <c r="D204" s="59"/>
      <c r="E204" s="17"/>
      <c r="F204" s="60"/>
      <c r="G204" s="60"/>
      <c r="H204" s="61"/>
      <c r="I204" s="62"/>
      <c r="J204" s="22"/>
    </row>
    <row r="205" ht="15.75" customHeight="1">
      <c r="A205" s="13"/>
      <c r="B205" s="62"/>
      <c r="C205" s="58"/>
      <c r="D205" s="59"/>
      <c r="E205" s="17"/>
      <c r="F205" s="60"/>
      <c r="G205" s="60"/>
      <c r="H205" s="61"/>
      <c r="I205" s="62"/>
      <c r="J205" s="22"/>
    </row>
    <row r="206" ht="15.75" customHeight="1">
      <c r="A206" s="13"/>
      <c r="B206" s="62"/>
      <c r="C206" s="58"/>
      <c r="D206" s="59"/>
      <c r="E206" s="17"/>
      <c r="F206" s="60"/>
      <c r="G206" s="60"/>
      <c r="H206" s="61"/>
      <c r="I206" s="62"/>
      <c r="J206" s="22"/>
    </row>
    <row r="207" ht="15.75" customHeight="1">
      <c r="A207" s="13"/>
      <c r="B207" s="62"/>
      <c r="C207" s="58"/>
      <c r="D207" s="59"/>
      <c r="E207" s="17"/>
      <c r="F207" s="60"/>
      <c r="G207" s="60"/>
      <c r="H207" s="61"/>
      <c r="I207" s="62"/>
      <c r="J207" s="22"/>
    </row>
    <row r="208" ht="15.75" customHeight="1">
      <c r="A208" s="13"/>
      <c r="B208" s="62"/>
      <c r="C208" s="58"/>
      <c r="D208" s="59"/>
      <c r="E208" s="17"/>
      <c r="F208" s="60"/>
      <c r="G208" s="60"/>
      <c r="H208" s="61"/>
      <c r="I208" s="62"/>
      <c r="J208" s="22"/>
    </row>
    <row r="209" ht="15.75" customHeight="1">
      <c r="A209" s="13"/>
      <c r="B209" s="62"/>
      <c r="C209" s="58"/>
      <c r="D209" s="59"/>
      <c r="E209" s="17"/>
      <c r="F209" s="60"/>
      <c r="G209" s="60"/>
      <c r="H209" s="61"/>
      <c r="I209" s="62"/>
      <c r="J209" s="22"/>
    </row>
    <row r="210" ht="15.75" customHeight="1">
      <c r="A210" s="13"/>
      <c r="B210" s="62"/>
      <c r="C210" s="58"/>
      <c r="D210" s="59"/>
      <c r="E210" s="17"/>
      <c r="F210" s="60"/>
      <c r="G210" s="60"/>
      <c r="H210" s="61"/>
      <c r="I210" s="62"/>
      <c r="J210" s="22"/>
    </row>
    <row r="211" ht="15.75" customHeight="1">
      <c r="A211" s="13"/>
      <c r="B211" s="62"/>
      <c r="C211" s="58"/>
      <c r="D211" s="59"/>
      <c r="E211" s="17"/>
      <c r="F211" s="60"/>
      <c r="G211" s="60"/>
      <c r="H211" s="61"/>
      <c r="I211" s="62"/>
      <c r="J211" s="22"/>
    </row>
    <row r="212" ht="15.75" customHeight="1">
      <c r="A212" s="13"/>
      <c r="B212" s="62"/>
      <c r="C212" s="58"/>
      <c r="D212" s="59"/>
      <c r="E212" s="17"/>
      <c r="F212" s="60"/>
      <c r="G212" s="60"/>
      <c r="H212" s="61"/>
      <c r="I212" s="62"/>
      <c r="J212" s="22"/>
    </row>
    <row r="213" ht="15.75" customHeight="1">
      <c r="A213" s="13"/>
      <c r="B213" s="62"/>
      <c r="C213" s="58"/>
      <c r="D213" s="59"/>
      <c r="E213" s="17"/>
      <c r="F213" s="60"/>
      <c r="G213" s="60"/>
      <c r="H213" s="61"/>
      <c r="I213" s="62"/>
      <c r="J213" s="22"/>
    </row>
    <row r="214" ht="15.75" customHeight="1">
      <c r="A214" s="13"/>
      <c r="B214" s="62"/>
      <c r="C214" s="58"/>
      <c r="D214" s="59"/>
      <c r="E214" s="17"/>
      <c r="F214" s="60"/>
      <c r="G214" s="60"/>
      <c r="H214" s="61"/>
      <c r="I214" s="62"/>
      <c r="J214" s="22"/>
    </row>
    <row r="215" ht="15.75" customHeight="1">
      <c r="A215" s="13"/>
      <c r="B215" s="62"/>
      <c r="C215" s="58"/>
      <c r="D215" s="59"/>
      <c r="E215" s="17"/>
      <c r="F215" s="60"/>
      <c r="G215" s="60"/>
      <c r="H215" s="61"/>
      <c r="I215" s="62"/>
      <c r="J215" s="22"/>
    </row>
    <row r="216" ht="15.75" customHeight="1">
      <c r="A216" s="13"/>
      <c r="B216" s="62"/>
      <c r="C216" s="58"/>
      <c r="D216" s="59"/>
      <c r="E216" s="17"/>
      <c r="F216" s="60"/>
      <c r="G216" s="60"/>
      <c r="H216" s="61"/>
      <c r="I216" s="62"/>
      <c r="J216" s="22"/>
    </row>
    <row r="217" ht="15.75" customHeight="1">
      <c r="A217" s="13"/>
      <c r="B217" s="62"/>
      <c r="C217" s="58"/>
      <c r="D217" s="59"/>
      <c r="E217" s="17"/>
      <c r="F217" s="60"/>
      <c r="G217" s="60"/>
      <c r="H217" s="61"/>
      <c r="I217" s="62"/>
      <c r="J217" s="22"/>
    </row>
    <row r="218" ht="15.75" customHeight="1">
      <c r="A218" s="13"/>
      <c r="B218" s="62"/>
      <c r="C218" s="58"/>
      <c r="D218" s="59"/>
      <c r="E218" s="17"/>
      <c r="F218" s="60"/>
      <c r="G218" s="60"/>
      <c r="H218" s="61"/>
      <c r="I218" s="62"/>
      <c r="J218" s="22"/>
    </row>
    <row r="219" ht="15.75" customHeight="1">
      <c r="A219" s="13"/>
      <c r="B219" s="62"/>
      <c r="C219" s="58"/>
      <c r="D219" s="59"/>
      <c r="E219" s="17"/>
      <c r="F219" s="60"/>
      <c r="G219" s="60"/>
      <c r="H219" s="61"/>
      <c r="I219" s="62"/>
      <c r="J219" s="22"/>
    </row>
    <row r="220" ht="15.75" customHeight="1">
      <c r="A220" s="13"/>
      <c r="B220" s="62"/>
      <c r="C220" s="58"/>
      <c r="D220" s="59"/>
      <c r="E220" s="17"/>
      <c r="F220" s="60"/>
      <c r="G220" s="60"/>
      <c r="H220" s="61"/>
      <c r="I220" s="62"/>
      <c r="J220" s="22"/>
    </row>
    <row r="221" ht="15.75" customHeight="1">
      <c r="A221" s="13"/>
      <c r="B221" s="62"/>
      <c r="C221" s="58"/>
      <c r="D221" s="59"/>
      <c r="E221" s="17"/>
      <c r="F221" s="60"/>
      <c r="G221" s="60"/>
      <c r="H221" s="61"/>
      <c r="I221" s="62"/>
      <c r="J221" s="22"/>
    </row>
    <row r="222" ht="15.75" customHeight="1">
      <c r="A222" s="13"/>
      <c r="B222" s="62"/>
      <c r="C222" s="58"/>
      <c r="D222" s="59"/>
      <c r="E222" s="17"/>
      <c r="F222" s="60"/>
      <c r="G222" s="60"/>
      <c r="H222" s="61"/>
      <c r="I222" s="62"/>
      <c r="J222" s="22"/>
    </row>
    <row r="223" ht="15.75" customHeight="1">
      <c r="A223" s="13"/>
      <c r="B223" s="62"/>
      <c r="C223" s="58"/>
      <c r="D223" s="59"/>
      <c r="E223" s="17"/>
      <c r="F223" s="60"/>
      <c r="G223" s="60"/>
      <c r="H223" s="61"/>
      <c r="I223" s="62"/>
      <c r="J223" s="22"/>
    </row>
    <row r="224" ht="15.75" customHeight="1">
      <c r="A224" s="13"/>
      <c r="B224" s="62"/>
      <c r="C224" s="58"/>
      <c r="D224" s="59"/>
      <c r="E224" s="17"/>
      <c r="F224" s="60"/>
      <c r="G224" s="60"/>
      <c r="H224" s="61"/>
      <c r="I224" s="62"/>
      <c r="J224" s="22"/>
    </row>
    <row r="225" ht="15.75" customHeight="1">
      <c r="A225" s="13"/>
      <c r="B225" s="62"/>
      <c r="C225" s="58"/>
      <c r="D225" s="59"/>
      <c r="E225" s="17"/>
      <c r="F225" s="60"/>
      <c r="G225" s="60"/>
      <c r="H225" s="61"/>
      <c r="I225" s="62"/>
      <c r="J225" s="22"/>
    </row>
    <row r="226" ht="15.75" customHeight="1">
      <c r="A226" s="13"/>
      <c r="B226" s="62"/>
      <c r="C226" s="58"/>
      <c r="D226" s="59"/>
      <c r="E226" s="17"/>
      <c r="F226" s="60"/>
      <c r="G226" s="60"/>
      <c r="H226" s="61"/>
      <c r="I226" s="62"/>
      <c r="J226" s="22"/>
    </row>
    <row r="227" ht="15.75" customHeight="1">
      <c r="A227" s="13"/>
      <c r="B227" s="62"/>
      <c r="C227" s="58"/>
      <c r="D227" s="59"/>
      <c r="E227" s="17"/>
      <c r="F227" s="60"/>
      <c r="G227" s="60"/>
      <c r="H227" s="61"/>
      <c r="I227" s="62"/>
      <c r="J227" s="22"/>
    </row>
    <row r="228" ht="15.75" customHeight="1">
      <c r="C228" s="63"/>
      <c r="F228" s="64"/>
      <c r="G228" s="64"/>
      <c r="J228" s="65"/>
    </row>
    <row r="229" ht="15.75" customHeight="1">
      <c r="C229" s="63"/>
      <c r="F229" s="64"/>
      <c r="G229" s="64"/>
      <c r="J229" s="65"/>
    </row>
    <row r="230" ht="15.75" customHeight="1">
      <c r="C230" s="63"/>
      <c r="F230" s="64"/>
      <c r="G230" s="64"/>
      <c r="J230" s="65"/>
    </row>
    <row r="231" ht="15.75" customHeight="1">
      <c r="C231" s="63"/>
      <c r="F231" s="64"/>
      <c r="G231" s="64"/>
      <c r="J231" s="65"/>
    </row>
    <row r="232" ht="15.75" customHeight="1">
      <c r="C232" s="63"/>
      <c r="F232" s="64"/>
      <c r="G232" s="64"/>
      <c r="J232" s="65"/>
    </row>
    <row r="233" ht="15.75" customHeight="1">
      <c r="C233" s="63"/>
      <c r="F233" s="64"/>
      <c r="G233" s="64"/>
      <c r="J233" s="65"/>
    </row>
    <row r="234" ht="15.75" customHeight="1">
      <c r="C234" s="63"/>
      <c r="F234" s="64"/>
      <c r="G234" s="64"/>
      <c r="J234" s="65"/>
    </row>
    <row r="235" ht="15.75" customHeight="1">
      <c r="C235" s="63"/>
      <c r="F235" s="64"/>
      <c r="G235" s="64"/>
      <c r="J235" s="65"/>
    </row>
    <row r="236" ht="15.75" customHeight="1">
      <c r="C236" s="63"/>
      <c r="F236" s="64"/>
      <c r="G236" s="64"/>
      <c r="J236" s="65"/>
    </row>
    <row r="237" ht="15.75" customHeight="1">
      <c r="C237" s="63"/>
      <c r="F237" s="64"/>
      <c r="G237" s="64"/>
      <c r="J237" s="65"/>
    </row>
    <row r="238" ht="15.75" customHeight="1">
      <c r="C238" s="63"/>
      <c r="F238" s="64"/>
      <c r="G238" s="64"/>
      <c r="J238" s="65"/>
    </row>
    <row r="239" ht="15.75" customHeight="1">
      <c r="C239" s="63"/>
      <c r="F239" s="64"/>
      <c r="G239" s="64"/>
      <c r="J239" s="65"/>
    </row>
    <row r="240" ht="15.75" customHeight="1">
      <c r="C240" s="63"/>
      <c r="F240" s="64"/>
      <c r="G240" s="64"/>
      <c r="J240" s="65"/>
    </row>
    <row r="241" ht="15.75" customHeight="1">
      <c r="C241" s="63"/>
      <c r="F241" s="64"/>
      <c r="G241" s="64"/>
      <c r="J241" s="65"/>
    </row>
    <row r="242" ht="15.75" customHeight="1">
      <c r="C242" s="63"/>
      <c r="F242" s="64"/>
      <c r="G242" s="64"/>
      <c r="J242" s="65"/>
    </row>
    <row r="243" ht="15.75" customHeight="1">
      <c r="C243" s="63"/>
      <c r="F243" s="64"/>
      <c r="G243" s="64"/>
      <c r="J243" s="65"/>
    </row>
    <row r="244" ht="15.75" customHeight="1">
      <c r="C244" s="63"/>
      <c r="F244" s="64"/>
      <c r="G244" s="64"/>
      <c r="J244" s="65"/>
    </row>
    <row r="245" ht="15.75" customHeight="1">
      <c r="C245" s="63"/>
      <c r="F245" s="64"/>
      <c r="G245" s="64"/>
      <c r="J245" s="65"/>
    </row>
    <row r="246" ht="15.75" customHeight="1">
      <c r="C246" s="63"/>
      <c r="F246" s="64"/>
      <c r="G246" s="64"/>
      <c r="J246" s="65"/>
    </row>
    <row r="247" ht="15.75" customHeight="1">
      <c r="C247" s="63"/>
      <c r="F247" s="64"/>
      <c r="G247" s="64"/>
      <c r="J247" s="65"/>
    </row>
    <row r="248" ht="15.75" customHeight="1">
      <c r="C248" s="63"/>
      <c r="F248" s="64"/>
      <c r="G248" s="64"/>
      <c r="J248" s="65"/>
    </row>
    <row r="249" ht="15.75" customHeight="1">
      <c r="C249" s="63"/>
      <c r="F249" s="64"/>
      <c r="G249" s="64"/>
      <c r="J249" s="65"/>
    </row>
    <row r="250" ht="15.75" customHeight="1">
      <c r="C250" s="63"/>
      <c r="F250" s="64"/>
      <c r="G250" s="64"/>
      <c r="J250" s="65"/>
    </row>
    <row r="251" ht="15.75" customHeight="1">
      <c r="C251" s="63"/>
      <c r="F251" s="64"/>
      <c r="G251" s="64"/>
      <c r="J251" s="65"/>
    </row>
    <row r="252" ht="15.75" customHeight="1">
      <c r="C252" s="63"/>
      <c r="F252" s="64"/>
      <c r="G252" s="64"/>
      <c r="J252" s="65"/>
    </row>
    <row r="253" ht="15.75" customHeight="1">
      <c r="C253" s="63"/>
      <c r="F253" s="64"/>
      <c r="G253" s="64"/>
      <c r="J253" s="65"/>
    </row>
    <row r="254" ht="15.75" customHeight="1">
      <c r="C254" s="63"/>
      <c r="F254" s="64"/>
      <c r="G254" s="64"/>
      <c r="J254" s="65"/>
    </row>
    <row r="255" ht="15.75" customHeight="1">
      <c r="C255" s="63"/>
      <c r="F255" s="64"/>
      <c r="G255" s="64"/>
      <c r="J255" s="65"/>
    </row>
    <row r="256" ht="15.75" customHeight="1">
      <c r="C256" s="63"/>
      <c r="F256" s="64"/>
      <c r="G256" s="64"/>
      <c r="J256" s="65"/>
    </row>
    <row r="257" ht="15.75" customHeight="1">
      <c r="C257" s="63"/>
      <c r="F257" s="64"/>
      <c r="G257" s="64"/>
      <c r="J257" s="65"/>
    </row>
    <row r="258" ht="15.75" customHeight="1">
      <c r="C258" s="63"/>
      <c r="F258" s="64"/>
      <c r="G258" s="64"/>
      <c r="J258" s="65"/>
    </row>
    <row r="259" ht="15.75" customHeight="1">
      <c r="C259" s="63"/>
      <c r="F259" s="64"/>
      <c r="G259" s="64"/>
      <c r="J259" s="65"/>
    </row>
    <row r="260" ht="15.75" customHeight="1">
      <c r="C260" s="63"/>
      <c r="F260" s="64"/>
      <c r="G260" s="64"/>
      <c r="J260" s="65"/>
    </row>
    <row r="261" ht="15.75" customHeight="1">
      <c r="C261" s="63"/>
      <c r="F261" s="64"/>
      <c r="G261" s="64"/>
      <c r="J261" s="65"/>
    </row>
    <row r="262" ht="15.75" customHeight="1">
      <c r="C262" s="63"/>
      <c r="F262" s="64"/>
      <c r="G262" s="64"/>
      <c r="J262" s="65"/>
    </row>
    <row r="263" ht="15.75" customHeight="1">
      <c r="C263" s="63"/>
      <c r="F263" s="64"/>
      <c r="G263" s="64"/>
      <c r="J263" s="65"/>
    </row>
    <row r="264" ht="15.75" customHeight="1">
      <c r="C264" s="63"/>
      <c r="F264" s="64"/>
      <c r="G264" s="64"/>
      <c r="J264" s="65"/>
    </row>
    <row r="265" ht="15.75" customHeight="1">
      <c r="C265" s="63"/>
      <c r="F265" s="64"/>
      <c r="G265" s="64"/>
      <c r="J265" s="65"/>
    </row>
    <row r="266" ht="15.75" customHeight="1">
      <c r="C266" s="63"/>
      <c r="F266" s="64"/>
      <c r="G266" s="64"/>
      <c r="J266" s="65"/>
    </row>
    <row r="267" ht="15.75" customHeight="1">
      <c r="C267" s="63"/>
      <c r="F267" s="64"/>
      <c r="G267" s="64"/>
      <c r="J267" s="65"/>
    </row>
    <row r="268" ht="15.75" customHeight="1">
      <c r="C268" s="63"/>
      <c r="F268" s="64"/>
      <c r="G268" s="64"/>
      <c r="J268" s="65"/>
    </row>
    <row r="269" ht="15.75" customHeight="1">
      <c r="C269" s="63"/>
      <c r="F269" s="64"/>
      <c r="G269" s="64"/>
      <c r="J269" s="65"/>
    </row>
    <row r="270" ht="15.75" customHeight="1">
      <c r="C270" s="63"/>
      <c r="F270" s="64"/>
      <c r="G270" s="64"/>
      <c r="J270" s="65"/>
    </row>
    <row r="271" ht="15.75" customHeight="1">
      <c r="C271" s="63"/>
      <c r="F271" s="64"/>
      <c r="G271" s="64"/>
      <c r="J271" s="65"/>
    </row>
    <row r="272" ht="15.75" customHeight="1">
      <c r="C272" s="63"/>
      <c r="F272" s="64"/>
      <c r="G272" s="64"/>
      <c r="J272" s="65"/>
    </row>
    <row r="273" ht="15.75" customHeight="1">
      <c r="C273" s="63"/>
      <c r="F273" s="64"/>
      <c r="G273" s="64"/>
      <c r="J273" s="65"/>
    </row>
    <row r="274" ht="15.75" customHeight="1">
      <c r="C274" s="63"/>
      <c r="F274" s="64"/>
      <c r="G274" s="64"/>
      <c r="J274" s="65"/>
    </row>
    <row r="275" ht="15.75" customHeight="1">
      <c r="C275" s="63"/>
      <c r="F275" s="64"/>
      <c r="G275" s="64"/>
      <c r="J275" s="65"/>
    </row>
    <row r="276" ht="15.75" customHeight="1">
      <c r="C276" s="63"/>
      <c r="F276" s="64"/>
      <c r="G276" s="64"/>
      <c r="J276" s="65"/>
    </row>
    <row r="277" ht="15.75" customHeight="1">
      <c r="C277" s="63"/>
      <c r="F277" s="64"/>
      <c r="G277" s="64"/>
      <c r="J277" s="65"/>
    </row>
    <row r="278" ht="15.75" customHeight="1">
      <c r="C278" s="63"/>
      <c r="F278" s="64"/>
      <c r="G278" s="64"/>
      <c r="J278" s="65"/>
    </row>
    <row r="279" ht="15.75" customHeight="1">
      <c r="C279" s="63"/>
      <c r="F279" s="64"/>
      <c r="G279" s="64"/>
      <c r="J279" s="65"/>
    </row>
    <row r="280" ht="15.75" customHeight="1">
      <c r="C280" s="63"/>
      <c r="F280" s="64"/>
      <c r="G280" s="64"/>
      <c r="J280" s="65"/>
    </row>
    <row r="281" ht="15.75" customHeight="1">
      <c r="C281" s="63"/>
      <c r="F281" s="64"/>
      <c r="G281" s="64"/>
      <c r="J281" s="65"/>
    </row>
    <row r="282" ht="15.75" customHeight="1">
      <c r="C282" s="63"/>
      <c r="F282" s="64"/>
      <c r="G282" s="64"/>
      <c r="J282" s="65"/>
    </row>
    <row r="283" ht="15.75" customHeight="1">
      <c r="C283" s="63"/>
      <c r="F283" s="64"/>
      <c r="G283" s="64"/>
      <c r="J283" s="65"/>
    </row>
    <row r="284" ht="15.75" customHeight="1">
      <c r="C284" s="63"/>
      <c r="F284" s="64"/>
      <c r="G284" s="64"/>
      <c r="J284" s="65"/>
    </row>
    <row r="285" ht="15.75" customHeight="1">
      <c r="C285" s="63"/>
      <c r="F285" s="64"/>
      <c r="G285" s="64"/>
      <c r="J285" s="65"/>
    </row>
    <row r="286" ht="15.75" customHeight="1">
      <c r="C286" s="63"/>
      <c r="F286" s="64"/>
      <c r="G286" s="64"/>
      <c r="J286" s="65"/>
    </row>
    <row r="287" ht="15.75" customHeight="1">
      <c r="C287" s="63"/>
      <c r="F287" s="64"/>
      <c r="G287" s="64"/>
      <c r="J287" s="65"/>
    </row>
    <row r="288" ht="15.75" customHeight="1">
      <c r="C288" s="63"/>
      <c r="F288" s="64"/>
      <c r="G288" s="64"/>
      <c r="J288" s="65"/>
    </row>
    <row r="289" ht="15.75" customHeight="1">
      <c r="C289" s="63"/>
      <c r="F289" s="64"/>
      <c r="G289" s="64"/>
      <c r="J289" s="65"/>
    </row>
    <row r="290" ht="15.75" customHeight="1">
      <c r="C290" s="63"/>
      <c r="F290" s="64"/>
      <c r="G290" s="64"/>
      <c r="J290" s="65"/>
    </row>
    <row r="291" ht="15.75" customHeight="1">
      <c r="C291" s="63"/>
      <c r="F291" s="64"/>
      <c r="G291" s="64"/>
      <c r="J291" s="65"/>
    </row>
    <row r="292" ht="15.75" customHeight="1">
      <c r="C292" s="63"/>
      <c r="F292" s="64"/>
      <c r="G292" s="64"/>
      <c r="J292" s="65"/>
    </row>
    <row r="293" ht="15.75" customHeight="1">
      <c r="C293" s="63"/>
      <c r="F293" s="64"/>
      <c r="G293" s="64"/>
      <c r="J293" s="65"/>
    </row>
    <row r="294" ht="15.75" customHeight="1">
      <c r="C294" s="63"/>
      <c r="F294" s="64"/>
      <c r="G294" s="64"/>
      <c r="J294" s="65"/>
    </row>
    <row r="295" ht="15.75" customHeight="1">
      <c r="C295" s="63"/>
      <c r="F295" s="64"/>
      <c r="G295" s="64"/>
      <c r="J295" s="65"/>
    </row>
    <row r="296" ht="15.75" customHeight="1">
      <c r="C296" s="63"/>
      <c r="F296" s="64"/>
      <c r="G296" s="64"/>
      <c r="J296" s="65"/>
    </row>
    <row r="297" ht="15.75" customHeight="1">
      <c r="C297" s="63"/>
      <c r="F297" s="64"/>
      <c r="G297" s="64"/>
      <c r="J297" s="65"/>
    </row>
    <row r="298" ht="15.75" customHeight="1">
      <c r="C298" s="63"/>
      <c r="F298" s="64"/>
      <c r="G298" s="64"/>
      <c r="J298" s="65"/>
    </row>
    <row r="299" ht="15.75" customHeight="1">
      <c r="C299" s="63"/>
      <c r="F299" s="64"/>
      <c r="G299" s="64"/>
      <c r="J299" s="65"/>
    </row>
    <row r="300" ht="15.75" customHeight="1">
      <c r="C300" s="63"/>
      <c r="F300" s="64"/>
      <c r="G300" s="64"/>
      <c r="J300" s="65"/>
    </row>
    <row r="301" ht="15.75" customHeight="1">
      <c r="C301" s="63"/>
      <c r="F301" s="64"/>
      <c r="G301" s="64"/>
      <c r="J301" s="65"/>
    </row>
    <row r="302" ht="15.75" customHeight="1">
      <c r="C302" s="63"/>
      <c r="F302" s="64"/>
      <c r="G302" s="64"/>
      <c r="J302" s="65"/>
    </row>
    <row r="303" ht="15.75" customHeight="1">
      <c r="C303" s="63"/>
      <c r="F303" s="64"/>
      <c r="G303" s="64"/>
      <c r="J303" s="65"/>
    </row>
    <row r="304" ht="15.75" customHeight="1">
      <c r="C304" s="63"/>
      <c r="F304" s="64"/>
      <c r="G304" s="64"/>
      <c r="J304" s="65"/>
    </row>
    <row r="305" ht="15.75" customHeight="1">
      <c r="C305" s="63"/>
      <c r="F305" s="64"/>
      <c r="G305" s="64"/>
      <c r="J305" s="65"/>
    </row>
    <row r="306" ht="15.75" customHeight="1">
      <c r="C306" s="63"/>
      <c r="F306" s="64"/>
      <c r="G306" s="64"/>
      <c r="J306" s="65"/>
    </row>
    <row r="307" ht="15.75" customHeight="1">
      <c r="C307" s="63"/>
      <c r="F307" s="64"/>
      <c r="G307" s="64"/>
      <c r="J307" s="65"/>
    </row>
    <row r="308" ht="15.75" customHeight="1">
      <c r="C308" s="63"/>
      <c r="F308" s="64"/>
      <c r="G308" s="64"/>
      <c r="J308" s="65"/>
    </row>
    <row r="309" ht="15.75" customHeight="1">
      <c r="C309" s="63"/>
      <c r="F309" s="64"/>
      <c r="G309" s="64"/>
      <c r="J309" s="65"/>
    </row>
    <row r="310" ht="15.75" customHeight="1">
      <c r="C310" s="63"/>
      <c r="F310" s="64"/>
      <c r="G310" s="64"/>
      <c r="J310" s="65"/>
    </row>
    <row r="311" ht="15.75" customHeight="1">
      <c r="C311" s="63"/>
      <c r="F311" s="64"/>
      <c r="G311" s="64"/>
      <c r="J311" s="65"/>
    </row>
    <row r="312" ht="15.75" customHeight="1">
      <c r="C312" s="63"/>
      <c r="F312" s="64"/>
      <c r="G312" s="64"/>
      <c r="J312" s="65"/>
    </row>
    <row r="313" ht="15.75" customHeight="1">
      <c r="C313" s="63"/>
      <c r="F313" s="64"/>
      <c r="G313" s="64"/>
      <c r="J313" s="65"/>
    </row>
    <row r="314" ht="15.75" customHeight="1">
      <c r="C314" s="63"/>
      <c r="F314" s="64"/>
      <c r="G314" s="64"/>
      <c r="J314" s="65"/>
    </row>
    <row r="315" ht="15.75" customHeight="1">
      <c r="C315" s="63"/>
      <c r="F315" s="64"/>
      <c r="G315" s="64"/>
      <c r="J315" s="65"/>
    </row>
    <row r="316" ht="15.75" customHeight="1">
      <c r="C316" s="63"/>
      <c r="F316" s="64"/>
      <c r="G316" s="64"/>
      <c r="J316" s="65"/>
    </row>
    <row r="317" ht="15.75" customHeight="1">
      <c r="C317" s="63"/>
      <c r="F317" s="64"/>
      <c r="G317" s="64"/>
      <c r="J317" s="65"/>
    </row>
    <row r="318" ht="15.75" customHeight="1">
      <c r="C318" s="63"/>
      <c r="F318" s="64"/>
      <c r="G318" s="64"/>
      <c r="J318" s="65"/>
    </row>
    <row r="319" ht="15.75" customHeight="1">
      <c r="C319" s="63"/>
      <c r="F319" s="64"/>
      <c r="G319" s="64"/>
      <c r="J319" s="65"/>
    </row>
    <row r="320" ht="15.75" customHeight="1">
      <c r="C320" s="63"/>
      <c r="F320" s="64"/>
      <c r="G320" s="64"/>
      <c r="J320" s="65"/>
    </row>
    <row r="321" ht="15.75" customHeight="1">
      <c r="C321" s="63"/>
      <c r="F321" s="64"/>
      <c r="G321" s="64"/>
      <c r="J321" s="65"/>
    </row>
    <row r="322" ht="15.75" customHeight="1">
      <c r="C322" s="63"/>
      <c r="F322" s="64"/>
      <c r="G322" s="64"/>
      <c r="J322" s="65"/>
    </row>
    <row r="323" ht="15.75" customHeight="1">
      <c r="C323" s="63"/>
      <c r="F323" s="64"/>
      <c r="G323" s="64"/>
      <c r="J323" s="65"/>
    </row>
    <row r="324" ht="15.75" customHeight="1">
      <c r="C324" s="63"/>
      <c r="F324" s="64"/>
      <c r="G324" s="64"/>
      <c r="J324" s="65"/>
    </row>
    <row r="325" ht="15.75" customHeight="1">
      <c r="C325" s="63"/>
      <c r="F325" s="64"/>
      <c r="G325" s="64"/>
      <c r="J325" s="65"/>
    </row>
    <row r="326" ht="15.75" customHeight="1">
      <c r="C326" s="63"/>
      <c r="F326" s="64"/>
      <c r="G326" s="64"/>
      <c r="J326" s="65"/>
    </row>
    <row r="327" ht="15.75" customHeight="1">
      <c r="C327" s="63"/>
      <c r="F327" s="64"/>
      <c r="G327" s="64"/>
      <c r="J327" s="65"/>
    </row>
    <row r="328" ht="15.75" customHeight="1">
      <c r="C328" s="63"/>
      <c r="F328" s="64"/>
      <c r="G328" s="64"/>
      <c r="J328" s="65"/>
    </row>
    <row r="329" ht="15.75" customHeight="1">
      <c r="C329" s="63"/>
      <c r="F329" s="64"/>
      <c r="G329" s="64"/>
      <c r="J329" s="65"/>
    </row>
    <row r="330" ht="15.75" customHeight="1">
      <c r="C330" s="63"/>
      <c r="F330" s="64"/>
      <c r="G330" s="64"/>
      <c r="J330" s="65"/>
    </row>
    <row r="331" ht="15.75" customHeight="1">
      <c r="C331" s="63"/>
      <c r="F331" s="64"/>
      <c r="G331" s="64"/>
      <c r="J331" s="65"/>
    </row>
    <row r="332" ht="15.75" customHeight="1">
      <c r="C332" s="63"/>
      <c r="F332" s="64"/>
      <c r="G332" s="64"/>
      <c r="J332" s="65"/>
    </row>
    <row r="333" ht="15.75" customHeight="1">
      <c r="C333" s="63"/>
      <c r="F333" s="64"/>
      <c r="G333" s="64"/>
      <c r="J333" s="65"/>
    </row>
    <row r="334" ht="15.75" customHeight="1">
      <c r="C334" s="63"/>
      <c r="F334" s="64"/>
      <c r="G334" s="64"/>
      <c r="J334" s="65"/>
    </row>
    <row r="335" ht="15.75" customHeight="1">
      <c r="C335" s="63"/>
      <c r="F335" s="64"/>
      <c r="G335" s="64"/>
      <c r="J335" s="65"/>
    </row>
    <row r="336" ht="15.75" customHeight="1">
      <c r="C336" s="63"/>
      <c r="F336" s="64"/>
      <c r="G336" s="64"/>
      <c r="J336" s="65"/>
    </row>
    <row r="337" ht="15.75" customHeight="1">
      <c r="C337" s="63"/>
      <c r="F337" s="64"/>
      <c r="G337" s="64"/>
      <c r="J337" s="65"/>
    </row>
    <row r="338" ht="15.75" customHeight="1">
      <c r="C338" s="63"/>
      <c r="F338" s="64"/>
      <c r="G338" s="64"/>
      <c r="J338" s="65"/>
    </row>
    <row r="339" ht="15.75" customHeight="1">
      <c r="C339" s="63"/>
      <c r="F339" s="64"/>
      <c r="G339" s="64"/>
      <c r="J339" s="65"/>
    </row>
    <row r="340" ht="15.75" customHeight="1">
      <c r="C340" s="63"/>
      <c r="F340" s="64"/>
      <c r="G340" s="64"/>
      <c r="J340" s="65"/>
    </row>
    <row r="341" ht="15.75" customHeight="1">
      <c r="C341" s="63"/>
      <c r="F341" s="64"/>
      <c r="G341" s="64"/>
      <c r="J341" s="65"/>
    </row>
    <row r="342" ht="15.75" customHeight="1">
      <c r="C342" s="63"/>
      <c r="F342" s="64"/>
      <c r="G342" s="64"/>
      <c r="J342" s="65"/>
    </row>
    <row r="343" ht="15.75" customHeight="1">
      <c r="C343" s="63"/>
      <c r="F343" s="64"/>
      <c r="G343" s="64"/>
      <c r="J343" s="65"/>
    </row>
    <row r="344" ht="15.75" customHeight="1">
      <c r="C344" s="63"/>
      <c r="F344" s="64"/>
      <c r="G344" s="64"/>
      <c r="J344" s="65"/>
    </row>
    <row r="345" ht="15.75" customHeight="1">
      <c r="C345" s="63"/>
      <c r="F345" s="64"/>
      <c r="G345" s="64"/>
      <c r="J345" s="65"/>
    </row>
    <row r="346" ht="15.75" customHeight="1">
      <c r="C346" s="63"/>
      <c r="F346" s="64"/>
      <c r="G346" s="64"/>
      <c r="J346" s="65"/>
    </row>
    <row r="347" ht="15.75" customHeight="1">
      <c r="C347" s="63"/>
      <c r="F347" s="64"/>
      <c r="G347" s="64"/>
      <c r="J347" s="65"/>
    </row>
    <row r="348" ht="15.75" customHeight="1">
      <c r="C348" s="63"/>
      <c r="F348" s="64"/>
      <c r="G348" s="64"/>
      <c r="J348" s="65"/>
    </row>
    <row r="349" ht="15.75" customHeight="1">
      <c r="C349" s="63"/>
      <c r="F349" s="64"/>
      <c r="G349" s="64"/>
      <c r="J349" s="65"/>
    </row>
    <row r="350" ht="15.75" customHeight="1">
      <c r="C350" s="63"/>
      <c r="F350" s="64"/>
      <c r="G350" s="64"/>
      <c r="J350" s="65"/>
    </row>
    <row r="351" ht="15.75" customHeight="1">
      <c r="C351" s="63"/>
      <c r="F351" s="64"/>
      <c r="G351" s="64"/>
      <c r="J351" s="65"/>
    </row>
    <row r="352" ht="15.75" customHeight="1">
      <c r="C352" s="63"/>
      <c r="F352" s="64"/>
      <c r="G352" s="64"/>
      <c r="J352" s="65"/>
    </row>
    <row r="353" ht="15.75" customHeight="1">
      <c r="C353" s="63"/>
      <c r="F353" s="64"/>
      <c r="G353" s="64"/>
      <c r="J353" s="65"/>
    </row>
    <row r="354" ht="15.75" customHeight="1">
      <c r="C354" s="63"/>
      <c r="F354" s="64"/>
      <c r="G354" s="64"/>
      <c r="J354" s="65"/>
    </row>
    <row r="355" ht="15.75" customHeight="1">
      <c r="C355" s="63"/>
      <c r="F355" s="64"/>
      <c r="G355" s="64"/>
      <c r="J355" s="65"/>
    </row>
    <row r="356" ht="15.75" customHeight="1">
      <c r="C356" s="63"/>
      <c r="F356" s="64"/>
      <c r="G356" s="64"/>
      <c r="J356" s="65"/>
    </row>
    <row r="357" ht="15.75" customHeight="1">
      <c r="C357" s="63"/>
      <c r="F357" s="64"/>
      <c r="G357" s="64"/>
      <c r="J357" s="65"/>
    </row>
    <row r="358" ht="15.75" customHeight="1">
      <c r="C358" s="63"/>
      <c r="F358" s="64"/>
      <c r="G358" s="64"/>
      <c r="J358" s="65"/>
    </row>
    <row r="359" ht="15.75" customHeight="1">
      <c r="C359" s="63"/>
      <c r="F359" s="64"/>
      <c r="G359" s="64"/>
      <c r="J359" s="65"/>
    </row>
    <row r="360" ht="15.75" customHeight="1">
      <c r="C360" s="63"/>
      <c r="F360" s="64"/>
      <c r="G360" s="64"/>
      <c r="J360" s="65"/>
    </row>
    <row r="361" ht="15.75" customHeight="1">
      <c r="C361" s="63"/>
      <c r="F361" s="64"/>
      <c r="G361" s="64"/>
      <c r="J361" s="65"/>
    </row>
    <row r="362" ht="15.75" customHeight="1">
      <c r="C362" s="63"/>
      <c r="F362" s="64"/>
      <c r="G362" s="64"/>
      <c r="J362" s="65"/>
    </row>
    <row r="363" ht="15.75" customHeight="1">
      <c r="C363" s="63"/>
      <c r="F363" s="64"/>
      <c r="G363" s="64"/>
      <c r="J363" s="65"/>
    </row>
    <row r="364" ht="15.75" customHeight="1">
      <c r="C364" s="63"/>
      <c r="F364" s="64"/>
      <c r="G364" s="64"/>
      <c r="J364" s="65"/>
    </row>
    <row r="365" ht="15.75" customHeight="1">
      <c r="C365" s="63"/>
      <c r="F365" s="64"/>
      <c r="G365" s="64"/>
      <c r="J365" s="65"/>
    </row>
    <row r="366" ht="15.75" customHeight="1">
      <c r="C366" s="63"/>
      <c r="F366" s="64"/>
      <c r="G366" s="64"/>
      <c r="J366" s="65"/>
    </row>
    <row r="367" ht="15.75" customHeight="1">
      <c r="C367" s="63"/>
      <c r="F367" s="64"/>
      <c r="G367" s="64"/>
      <c r="J367" s="65"/>
    </row>
    <row r="368" ht="15.75" customHeight="1">
      <c r="C368" s="63"/>
      <c r="F368" s="64"/>
      <c r="G368" s="64"/>
      <c r="J368" s="65"/>
    </row>
    <row r="369" ht="15.75" customHeight="1">
      <c r="C369" s="63"/>
      <c r="F369" s="64"/>
      <c r="G369" s="64"/>
      <c r="J369" s="65"/>
    </row>
    <row r="370" ht="15.75" customHeight="1">
      <c r="C370" s="63"/>
      <c r="F370" s="64"/>
      <c r="G370" s="64"/>
      <c r="J370" s="65"/>
    </row>
    <row r="371" ht="15.75" customHeight="1">
      <c r="C371" s="63"/>
      <c r="F371" s="64"/>
      <c r="G371" s="64"/>
      <c r="J371" s="65"/>
    </row>
    <row r="372" ht="15.75" customHeight="1">
      <c r="C372" s="63"/>
      <c r="F372" s="64"/>
      <c r="G372" s="64"/>
      <c r="J372" s="65"/>
    </row>
    <row r="373" ht="15.75" customHeight="1">
      <c r="C373" s="63"/>
      <c r="F373" s="64"/>
      <c r="G373" s="64"/>
      <c r="J373" s="65"/>
    </row>
    <row r="374" ht="15.75" customHeight="1">
      <c r="C374" s="63"/>
      <c r="F374" s="64"/>
      <c r="G374" s="64"/>
      <c r="J374" s="65"/>
    </row>
    <row r="375" ht="15.75" customHeight="1">
      <c r="C375" s="63"/>
      <c r="F375" s="64"/>
      <c r="G375" s="64"/>
      <c r="J375" s="65"/>
    </row>
    <row r="376" ht="15.75" customHeight="1">
      <c r="C376" s="63"/>
      <c r="F376" s="64"/>
      <c r="G376" s="64"/>
      <c r="J376" s="65"/>
    </row>
    <row r="377" ht="15.75" customHeight="1">
      <c r="C377" s="63"/>
      <c r="F377" s="64"/>
      <c r="G377" s="64"/>
      <c r="J377" s="65"/>
    </row>
    <row r="378" ht="15.75" customHeight="1">
      <c r="C378" s="63"/>
      <c r="F378" s="64"/>
      <c r="G378" s="64"/>
      <c r="J378" s="65"/>
    </row>
    <row r="379" ht="15.75" customHeight="1">
      <c r="C379" s="63"/>
      <c r="F379" s="64"/>
      <c r="G379" s="64"/>
      <c r="J379" s="65"/>
    </row>
    <row r="380" ht="15.75" customHeight="1">
      <c r="C380" s="63"/>
      <c r="F380" s="64"/>
      <c r="G380" s="64"/>
      <c r="J380" s="65"/>
    </row>
    <row r="381" ht="15.75" customHeight="1">
      <c r="C381" s="63"/>
      <c r="F381" s="64"/>
      <c r="G381" s="64"/>
      <c r="J381" s="65"/>
    </row>
    <row r="382" ht="15.75" customHeight="1">
      <c r="C382" s="63"/>
      <c r="F382" s="64"/>
      <c r="G382" s="64"/>
      <c r="J382" s="65"/>
    </row>
    <row r="383" ht="15.75" customHeight="1">
      <c r="C383" s="63"/>
      <c r="F383" s="64"/>
      <c r="G383" s="64"/>
      <c r="J383" s="65"/>
    </row>
    <row r="384" ht="15.75" customHeight="1">
      <c r="C384" s="63"/>
      <c r="F384" s="64"/>
      <c r="G384" s="64"/>
      <c r="J384" s="65"/>
    </row>
    <row r="385" ht="15.75" customHeight="1">
      <c r="C385" s="63"/>
      <c r="F385" s="64"/>
      <c r="G385" s="64"/>
      <c r="J385" s="65"/>
    </row>
    <row r="386" ht="15.75" customHeight="1">
      <c r="C386" s="63"/>
      <c r="F386" s="64"/>
      <c r="G386" s="64"/>
      <c r="J386" s="65"/>
    </row>
    <row r="387" ht="15.75" customHeight="1">
      <c r="C387" s="63"/>
      <c r="F387" s="64"/>
      <c r="G387" s="64"/>
      <c r="J387" s="65"/>
    </row>
    <row r="388" ht="15.75" customHeight="1">
      <c r="C388" s="63"/>
      <c r="F388" s="64"/>
      <c r="G388" s="64"/>
      <c r="J388" s="65"/>
    </row>
    <row r="389" ht="15.75" customHeight="1">
      <c r="C389" s="63"/>
      <c r="F389" s="64"/>
      <c r="G389" s="64"/>
      <c r="J389" s="65"/>
    </row>
    <row r="390" ht="15.75" customHeight="1">
      <c r="C390" s="63"/>
      <c r="F390" s="64"/>
      <c r="G390" s="64"/>
      <c r="J390" s="65"/>
    </row>
    <row r="391" ht="15.75" customHeight="1">
      <c r="C391" s="63"/>
      <c r="F391" s="64"/>
      <c r="G391" s="64"/>
      <c r="J391" s="65"/>
    </row>
    <row r="392" ht="15.75" customHeight="1">
      <c r="C392" s="63"/>
      <c r="F392" s="64"/>
      <c r="G392" s="64"/>
      <c r="J392" s="65"/>
    </row>
    <row r="393" ht="15.75" customHeight="1">
      <c r="C393" s="63"/>
      <c r="F393" s="64"/>
      <c r="G393" s="64"/>
      <c r="J393" s="65"/>
    </row>
    <row r="394" ht="15.75" customHeight="1">
      <c r="C394" s="63"/>
      <c r="F394" s="64"/>
      <c r="G394" s="64"/>
      <c r="J394" s="65"/>
    </row>
    <row r="395" ht="15.75" customHeight="1">
      <c r="C395" s="63"/>
      <c r="F395" s="64"/>
      <c r="G395" s="64"/>
      <c r="J395" s="65"/>
    </row>
    <row r="396" ht="15.75" customHeight="1">
      <c r="C396" s="63"/>
      <c r="F396" s="64"/>
      <c r="G396" s="64"/>
      <c r="J396" s="65"/>
    </row>
    <row r="397" ht="15.75" customHeight="1">
      <c r="C397" s="63"/>
      <c r="F397" s="64"/>
      <c r="G397" s="64"/>
      <c r="J397" s="65"/>
    </row>
    <row r="398" ht="15.75" customHeight="1">
      <c r="C398" s="63"/>
      <c r="F398" s="64"/>
      <c r="G398" s="64"/>
      <c r="J398" s="65"/>
    </row>
    <row r="399" ht="15.75" customHeight="1">
      <c r="C399" s="63"/>
      <c r="F399" s="64"/>
      <c r="G399" s="64"/>
      <c r="J399" s="65"/>
    </row>
    <row r="400" ht="15.75" customHeight="1">
      <c r="C400" s="63"/>
      <c r="F400" s="64"/>
      <c r="G400" s="64"/>
      <c r="J400" s="65"/>
    </row>
    <row r="401" ht="15.75" customHeight="1">
      <c r="C401" s="63"/>
      <c r="F401" s="64"/>
      <c r="G401" s="64"/>
      <c r="J401" s="65"/>
    </row>
    <row r="402" ht="15.75" customHeight="1">
      <c r="C402" s="63"/>
      <c r="F402" s="64"/>
      <c r="G402" s="64"/>
      <c r="J402" s="65"/>
    </row>
    <row r="403" ht="15.75" customHeight="1">
      <c r="C403" s="63"/>
      <c r="F403" s="64"/>
      <c r="G403" s="64"/>
      <c r="J403" s="65"/>
    </row>
    <row r="404" ht="15.75" customHeight="1">
      <c r="C404" s="63"/>
      <c r="F404" s="64"/>
      <c r="G404" s="64"/>
      <c r="J404" s="65"/>
    </row>
    <row r="405" ht="15.75" customHeight="1">
      <c r="C405" s="63"/>
      <c r="F405" s="64"/>
      <c r="G405" s="64"/>
      <c r="J405" s="65"/>
    </row>
    <row r="406" ht="15.75" customHeight="1">
      <c r="C406" s="63"/>
      <c r="F406" s="64"/>
      <c r="G406" s="64"/>
      <c r="J406" s="65"/>
    </row>
    <row r="407" ht="15.75" customHeight="1">
      <c r="C407" s="63"/>
      <c r="F407" s="64"/>
      <c r="G407" s="64"/>
      <c r="J407" s="65"/>
    </row>
    <row r="408" ht="15.75" customHeight="1">
      <c r="C408" s="63"/>
      <c r="F408" s="64"/>
      <c r="G408" s="64"/>
      <c r="J408" s="65"/>
    </row>
    <row r="409" ht="15.75" customHeight="1">
      <c r="C409" s="63"/>
      <c r="F409" s="64"/>
      <c r="G409" s="64"/>
      <c r="J409" s="65"/>
    </row>
    <row r="410" ht="15.75" customHeight="1">
      <c r="C410" s="63"/>
      <c r="F410" s="64"/>
      <c r="G410" s="64"/>
      <c r="J410" s="65"/>
    </row>
    <row r="411" ht="15.75" customHeight="1">
      <c r="C411" s="63"/>
      <c r="F411" s="64"/>
      <c r="G411" s="64"/>
      <c r="J411" s="65"/>
    </row>
    <row r="412" ht="15.75" customHeight="1">
      <c r="C412" s="63"/>
      <c r="F412" s="64"/>
      <c r="G412" s="64"/>
      <c r="J412" s="65"/>
    </row>
    <row r="413" ht="15.75" customHeight="1">
      <c r="C413" s="63"/>
      <c r="F413" s="64"/>
      <c r="G413" s="64"/>
      <c r="J413" s="65"/>
    </row>
    <row r="414" ht="15.75" customHeight="1">
      <c r="C414" s="63"/>
      <c r="F414" s="64"/>
      <c r="G414" s="64"/>
      <c r="J414" s="65"/>
    </row>
    <row r="415" ht="15.75" customHeight="1">
      <c r="C415" s="63"/>
      <c r="F415" s="64"/>
      <c r="G415" s="64"/>
      <c r="J415" s="65"/>
    </row>
    <row r="416" ht="15.75" customHeight="1">
      <c r="C416" s="63"/>
      <c r="F416" s="64"/>
      <c r="G416" s="64"/>
      <c r="J416" s="65"/>
    </row>
    <row r="417" ht="15.75" customHeight="1">
      <c r="C417" s="63"/>
      <c r="F417" s="64"/>
      <c r="G417" s="64"/>
      <c r="J417" s="65"/>
    </row>
    <row r="418" ht="15.75" customHeight="1">
      <c r="C418" s="63"/>
      <c r="F418" s="64"/>
      <c r="G418" s="64"/>
      <c r="J418" s="65"/>
    </row>
    <row r="419" ht="15.75" customHeight="1">
      <c r="C419" s="63"/>
      <c r="F419" s="64"/>
      <c r="G419" s="64"/>
      <c r="J419" s="65"/>
    </row>
    <row r="420" ht="15.75" customHeight="1">
      <c r="C420" s="63"/>
      <c r="F420" s="64"/>
      <c r="G420" s="64"/>
      <c r="J420" s="65"/>
    </row>
    <row r="421" ht="15.75" customHeight="1">
      <c r="C421" s="63"/>
      <c r="F421" s="64"/>
      <c r="G421" s="64"/>
      <c r="J421" s="65"/>
    </row>
    <row r="422" ht="15.75" customHeight="1">
      <c r="C422" s="63"/>
      <c r="F422" s="64"/>
      <c r="G422" s="64"/>
      <c r="J422" s="65"/>
    </row>
    <row r="423" ht="15.75" customHeight="1">
      <c r="C423" s="63"/>
      <c r="F423" s="64"/>
      <c r="G423" s="64"/>
      <c r="J423" s="65"/>
    </row>
    <row r="424" ht="15.75" customHeight="1">
      <c r="C424" s="63"/>
      <c r="F424" s="64"/>
      <c r="G424" s="64"/>
      <c r="J424" s="65"/>
    </row>
    <row r="425" ht="15.75" customHeight="1">
      <c r="C425" s="63"/>
      <c r="F425" s="64"/>
      <c r="G425" s="64"/>
      <c r="J425" s="65"/>
    </row>
    <row r="426" ht="15.75" customHeight="1">
      <c r="C426" s="63"/>
      <c r="F426" s="64"/>
      <c r="G426" s="64"/>
      <c r="J426" s="65"/>
    </row>
    <row r="427" ht="15.75" customHeight="1">
      <c r="C427" s="63"/>
      <c r="F427" s="64"/>
      <c r="G427" s="64"/>
      <c r="J427" s="65"/>
    </row>
    <row r="428" ht="15.75" customHeight="1">
      <c r="C428" s="63"/>
      <c r="F428" s="64"/>
      <c r="G428" s="64"/>
      <c r="J428" s="65"/>
    </row>
    <row r="429" ht="15.75" customHeight="1">
      <c r="C429" s="63"/>
      <c r="F429" s="64"/>
      <c r="G429" s="64"/>
      <c r="J429" s="65"/>
    </row>
    <row r="430" ht="15.75" customHeight="1">
      <c r="C430" s="63"/>
      <c r="F430" s="64"/>
      <c r="G430" s="64"/>
      <c r="J430" s="65"/>
    </row>
    <row r="431" ht="15.75" customHeight="1">
      <c r="C431" s="63"/>
      <c r="F431" s="64"/>
      <c r="G431" s="64"/>
      <c r="J431" s="65"/>
    </row>
    <row r="432" ht="15.75" customHeight="1">
      <c r="C432" s="63"/>
      <c r="F432" s="64"/>
      <c r="G432" s="64"/>
      <c r="J432" s="65"/>
    </row>
    <row r="433" ht="15.75" customHeight="1">
      <c r="C433" s="63"/>
      <c r="F433" s="64"/>
      <c r="G433" s="64"/>
      <c r="J433" s="65"/>
    </row>
    <row r="434" ht="15.75" customHeight="1">
      <c r="C434" s="63"/>
      <c r="F434" s="64"/>
      <c r="G434" s="64"/>
      <c r="J434" s="65"/>
    </row>
    <row r="435" ht="15.75" customHeight="1">
      <c r="C435" s="63"/>
      <c r="F435" s="64"/>
      <c r="G435" s="64"/>
      <c r="J435" s="65"/>
    </row>
    <row r="436" ht="15.75" customHeight="1">
      <c r="C436" s="63"/>
      <c r="F436" s="64"/>
      <c r="G436" s="64"/>
      <c r="J436" s="65"/>
    </row>
    <row r="437" ht="15.75" customHeight="1">
      <c r="C437" s="63"/>
      <c r="F437" s="64"/>
      <c r="G437" s="64"/>
      <c r="J437" s="65"/>
    </row>
    <row r="438" ht="15.75" customHeight="1">
      <c r="C438" s="63"/>
      <c r="F438" s="64"/>
      <c r="G438" s="64"/>
      <c r="J438" s="65"/>
    </row>
    <row r="439" ht="15.75" customHeight="1">
      <c r="C439" s="63"/>
      <c r="F439" s="64"/>
      <c r="G439" s="64"/>
      <c r="J439" s="65"/>
    </row>
    <row r="440" ht="15.75" customHeight="1">
      <c r="C440" s="63"/>
      <c r="F440" s="64"/>
      <c r="G440" s="64"/>
      <c r="J440" s="65"/>
    </row>
    <row r="441" ht="15.75" customHeight="1">
      <c r="C441" s="63"/>
      <c r="F441" s="64"/>
      <c r="G441" s="64"/>
      <c r="J441" s="65"/>
    </row>
    <row r="442" ht="15.75" customHeight="1">
      <c r="C442" s="63"/>
      <c r="F442" s="64"/>
      <c r="G442" s="64"/>
      <c r="J442" s="65"/>
    </row>
    <row r="443" ht="15.75" customHeight="1">
      <c r="C443" s="63"/>
      <c r="F443" s="64"/>
      <c r="G443" s="64"/>
      <c r="J443" s="65"/>
    </row>
    <row r="444" ht="15.75" customHeight="1">
      <c r="C444" s="63"/>
      <c r="F444" s="64"/>
      <c r="G444" s="64"/>
      <c r="J444" s="65"/>
    </row>
    <row r="445" ht="15.75" customHeight="1">
      <c r="C445" s="63"/>
      <c r="F445" s="64"/>
      <c r="G445" s="64"/>
      <c r="J445" s="65"/>
    </row>
    <row r="446" ht="15.75" customHeight="1">
      <c r="C446" s="63"/>
      <c r="F446" s="64"/>
      <c r="G446" s="64"/>
      <c r="J446" s="65"/>
    </row>
    <row r="447" ht="15.75" customHeight="1">
      <c r="C447" s="63"/>
      <c r="F447" s="64"/>
      <c r="G447" s="64"/>
      <c r="J447" s="65"/>
    </row>
    <row r="448" ht="15.75" customHeight="1">
      <c r="C448" s="63"/>
      <c r="F448" s="64"/>
      <c r="G448" s="64"/>
      <c r="J448" s="65"/>
    </row>
    <row r="449" ht="15.75" customHeight="1">
      <c r="C449" s="63"/>
      <c r="F449" s="64"/>
      <c r="G449" s="64"/>
      <c r="J449" s="65"/>
    </row>
    <row r="450" ht="15.75" customHeight="1">
      <c r="C450" s="63"/>
      <c r="F450" s="64"/>
      <c r="G450" s="64"/>
      <c r="J450" s="65"/>
    </row>
    <row r="451" ht="15.75" customHeight="1">
      <c r="C451" s="63"/>
      <c r="F451" s="64"/>
      <c r="G451" s="64"/>
      <c r="J451" s="65"/>
    </row>
    <row r="452" ht="15.75" customHeight="1">
      <c r="C452" s="63"/>
      <c r="F452" s="64"/>
      <c r="G452" s="64"/>
      <c r="J452" s="65"/>
    </row>
    <row r="453" ht="15.75" customHeight="1">
      <c r="C453" s="63"/>
      <c r="F453" s="64"/>
      <c r="G453" s="64"/>
      <c r="J453" s="65"/>
    </row>
    <row r="454" ht="15.75" customHeight="1">
      <c r="C454" s="63"/>
      <c r="F454" s="64"/>
      <c r="G454" s="64"/>
      <c r="J454" s="65"/>
    </row>
    <row r="455" ht="15.75" customHeight="1">
      <c r="C455" s="63"/>
      <c r="F455" s="64"/>
      <c r="G455" s="64"/>
      <c r="J455" s="65"/>
    </row>
    <row r="456" ht="15.75" customHeight="1">
      <c r="C456" s="63"/>
      <c r="F456" s="64"/>
      <c r="G456" s="64"/>
      <c r="J456" s="65"/>
    </row>
    <row r="457" ht="15.75" customHeight="1">
      <c r="C457" s="63"/>
      <c r="F457" s="64"/>
      <c r="G457" s="64"/>
      <c r="J457" s="65"/>
    </row>
    <row r="458" ht="15.75" customHeight="1">
      <c r="C458" s="63"/>
      <c r="F458" s="64"/>
      <c r="G458" s="64"/>
      <c r="J458" s="65"/>
    </row>
    <row r="459" ht="15.75" customHeight="1">
      <c r="C459" s="63"/>
      <c r="F459" s="64"/>
      <c r="G459" s="64"/>
      <c r="J459" s="65"/>
    </row>
    <row r="460" ht="15.75" customHeight="1">
      <c r="C460" s="63"/>
      <c r="F460" s="64"/>
      <c r="G460" s="64"/>
      <c r="J460" s="65"/>
    </row>
    <row r="461" ht="15.75" customHeight="1">
      <c r="C461" s="63"/>
      <c r="F461" s="64"/>
      <c r="G461" s="64"/>
      <c r="J461" s="65"/>
    </row>
    <row r="462" ht="15.75" customHeight="1">
      <c r="C462" s="63"/>
      <c r="F462" s="64"/>
      <c r="G462" s="64"/>
      <c r="J462" s="65"/>
    </row>
    <row r="463" ht="15.75" customHeight="1">
      <c r="C463" s="63"/>
      <c r="F463" s="64"/>
      <c r="G463" s="64"/>
      <c r="J463" s="65"/>
    </row>
    <row r="464" ht="15.75" customHeight="1">
      <c r="C464" s="63"/>
      <c r="F464" s="64"/>
      <c r="G464" s="64"/>
      <c r="J464" s="65"/>
    </row>
    <row r="465" ht="15.75" customHeight="1">
      <c r="C465" s="63"/>
      <c r="F465" s="64"/>
      <c r="G465" s="64"/>
      <c r="J465" s="65"/>
    </row>
    <row r="466" ht="15.75" customHeight="1">
      <c r="C466" s="63"/>
      <c r="F466" s="64"/>
      <c r="G466" s="64"/>
      <c r="J466" s="65"/>
    </row>
    <row r="467" ht="15.75" customHeight="1">
      <c r="C467" s="63"/>
      <c r="F467" s="64"/>
      <c r="G467" s="64"/>
      <c r="J467" s="65"/>
    </row>
    <row r="468" ht="15.75" customHeight="1">
      <c r="C468" s="63"/>
      <c r="F468" s="64"/>
      <c r="G468" s="64"/>
      <c r="J468" s="65"/>
    </row>
    <row r="469" ht="15.75" customHeight="1">
      <c r="C469" s="63"/>
      <c r="F469" s="64"/>
      <c r="G469" s="64"/>
      <c r="J469" s="65"/>
    </row>
    <row r="470" ht="15.75" customHeight="1">
      <c r="C470" s="63"/>
      <c r="F470" s="64"/>
      <c r="G470" s="64"/>
      <c r="J470" s="65"/>
    </row>
    <row r="471" ht="15.75" customHeight="1">
      <c r="C471" s="63"/>
      <c r="F471" s="64"/>
      <c r="G471" s="64"/>
      <c r="J471" s="65"/>
    </row>
    <row r="472" ht="15.75" customHeight="1">
      <c r="C472" s="63"/>
      <c r="F472" s="64"/>
      <c r="G472" s="64"/>
      <c r="J472" s="65"/>
    </row>
    <row r="473" ht="15.75" customHeight="1">
      <c r="C473" s="63"/>
      <c r="F473" s="64"/>
      <c r="G473" s="64"/>
      <c r="J473" s="65"/>
    </row>
    <row r="474" ht="15.75" customHeight="1">
      <c r="C474" s="63"/>
      <c r="F474" s="64"/>
      <c r="G474" s="64"/>
      <c r="J474" s="65"/>
    </row>
    <row r="475" ht="15.75" customHeight="1">
      <c r="C475" s="63"/>
      <c r="F475" s="64"/>
      <c r="G475" s="64"/>
      <c r="J475" s="65"/>
    </row>
    <row r="476" ht="15.75" customHeight="1">
      <c r="C476" s="63"/>
      <c r="F476" s="64"/>
      <c r="G476" s="64"/>
      <c r="J476" s="65"/>
    </row>
    <row r="477" ht="15.75" customHeight="1">
      <c r="C477" s="63"/>
      <c r="F477" s="64"/>
      <c r="G477" s="64"/>
      <c r="J477" s="65"/>
    </row>
    <row r="478" ht="15.75" customHeight="1">
      <c r="C478" s="63"/>
      <c r="F478" s="64"/>
      <c r="G478" s="64"/>
      <c r="J478" s="65"/>
    </row>
    <row r="479" ht="15.75" customHeight="1">
      <c r="C479" s="63"/>
      <c r="F479" s="64"/>
      <c r="G479" s="64"/>
      <c r="J479" s="65"/>
    </row>
    <row r="480" ht="15.75" customHeight="1">
      <c r="C480" s="63"/>
      <c r="F480" s="64"/>
      <c r="G480" s="64"/>
      <c r="J480" s="65"/>
    </row>
    <row r="481" ht="15.75" customHeight="1">
      <c r="C481" s="63"/>
      <c r="F481" s="64"/>
      <c r="G481" s="64"/>
      <c r="J481" s="65"/>
    </row>
    <row r="482" ht="15.75" customHeight="1">
      <c r="C482" s="63"/>
      <c r="F482" s="64"/>
      <c r="G482" s="64"/>
      <c r="J482" s="65"/>
    </row>
    <row r="483" ht="15.75" customHeight="1">
      <c r="C483" s="63"/>
      <c r="F483" s="64"/>
      <c r="G483" s="64"/>
      <c r="J483" s="65"/>
    </row>
    <row r="484" ht="15.75" customHeight="1">
      <c r="C484" s="63"/>
      <c r="F484" s="64"/>
      <c r="G484" s="64"/>
      <c r="J484" s="65"/>
    </row>
    <row r="485" ht="15.75" customHeight="1">
      <c r="C485" s="63"/>
      <c r="F485" s="64"/>
      <c r="G485" s="64"/>
      <c r="J485" s="65"/>
    </row>
    <row r="486" ht="15.75" customHeight="1">
      <c r="C486" s="63"/>
      <c r="F486" s="64"/>
      <c r="G486" s="64"/>
      <c r="J486" s="65"/>
    </row>
    <row r="487" ht="15.75" customHeight="1">
      <c r="C487" s="63"/>
      <c r="F487" s="64"/>
      <c r="G487" s="64"/>
      <c r="J487" s="65"/>
    </row>
    <row r="488" ht="15.75" customHeight="1">
      <c r="C488" s="63"/>
      <c r="F488" s="64"/>
      <c r="G488" s="64"/>
      <c r="J488" s="65"/>
    </row>
    <row r="489" ht="15.75" customHeight="1">
      <c r="C489" s="63"/>
      <c r="F489" s="64"/>
      <c r="G489" s="64"/>
      <c r="J489" s="65"/>
    </row>
    <row r="490" ht="15.75" customHeight="1">
      <c r="C490" s="63"/>
      <c r="F490" s="64"/>
      <c r="G490" s="64"/>
      <c r="J490" s="65"/>
    </row>
    <row r="491" ht="15.75" customHeight="1">
      <c r="C491" s="63"/>
      <c r="F491" s="64"/>
      <c r="G491" s="64"/>
      <c r="J491" s="65"/>
    </row>
    <row r="492" ht="15.75" customHeight="1">
      <c r="C492" s="63"/>
      <c r="F492" s="64"/>
      <c r="G492" s="64"/>
      <c r="J492" s="65"/>
    </row>
    <row r="493" ht="15.75" customHeight="1">
      <c r="C493" s="63"/>
      <c r="F493" s="64"/>
      <c r="G493" s="64"/>
      <c r="J493" s="65"/>
    </row>
    <row r="494" ht="15.75" customHeight="1">
      <c r="C494" s="63"/>
      <c r="F494" s="64"/>
      <c r="G494" s="64"/>
      <c r="J494" s="65"/>
    </row>
    <row r="495" ht="15.75" customHeight="1">
      <c r="C495" s="63"/>
      <c r="F495" s="64"/>
      <c r="G495" s="64"/>
      <c r="J495" s="65"/>
    </row>
    <row r="496" ht="15.75" customHeight="1">
      <c r="C496" s="63"/>
      <c r="F496" s="64"/>
      <c r="G496" s="64"/>
      <c r="J496" s="65"/>
    </row>
    <row r="497" ht="15.75" customHeight="1">
      <c r="C497" s="63"/>
      <c r="F497" s="64"/>
      <c r="G497" s="64"/>
      <c r="J497" s="65"/>
    </row>
    <row r="498" ht="15.75" customHeight="1">
      <c r="C498" s="63"/>
      <c r="F498" s="64"/>
      <c r="G498" s="64"/>
      <c r="J498" s="65"/>
    </row>
    <row r="499" ht="15.75" customHeight="1">
      <c r="C499" s="63"/>
      <c r="F499" s="64"/>
      <c r="G499" s="64"/>
      <c r="J499" s="65"/>
    </row>
    <row r="500" ht="15.75" customHeight="1">
      <c r="C500" s="63"/>
      <c r="F500" s="64"/>
      <c r="G500" s="64"/>
      <c r="J500" s="65"/>
    </row>
    <row r="501" ht="15.75" customHeight="1">
      <c r="C501" s="63"/>
      <c r="F501" s="64"/>
      <c r="G501" s="64"/>
      <c r="J501" s="65"/>
    </row>
    <row r="502" ht="15.75" customHeight="1">
      <c r="C502" s="63"/>
      <c r="F502" s="64"/>
      <c r="G502" s="64"/>
      <c r="J502" s="65"/>
    </row>
    <row r="503" ht="15.75" customHeight="1">
      <c r="C503" s="63"/>
      <c r="F503" s="64"/>
      <c r="G503" s="64"/>
      <c r="J503" s="65"/>
    </row>
    <row r="504" ht="15.75" customHeight="1">
      <c r="C504" s="63"/>
      <c r="F504" s="64"/>
      <c r="G504" s="64"/>
      <c r="J504" s="65"/>
    </row>
    <row r="505" ht="15.75" customHeight="1">
      <c r="C505" s="63"/>
      <c r="F505" s="64"/>
      <c r="G505" s="64"/>
      <c r="J505" s="65"/>
    </row>
    <row r="506" ht="15.75" customHeight="1">
      <c r="C506" s="63"/>
      <c r="F506" s="64"/>
      <c r="G506" s="64"/>
      <c r="J506" s="65"/>
    </row>
    <row r="507" ht="15.75" customHeight="1">
      <c r="C507" s="63"/>
      <c r="F507" s="64"/>
      <c r="G507" s="64"/>
      <c r="J507" s="65"/>
    </row>
    <row r="508" ht="15.75" customHeight="1">
      <c r="C508" s="63"/>
      <c r="F508" s="64"/>
      <c r="G508" s="64"/>
      <c r="J508" s="65"/>
    </row>
    <row r="509" ht="15.75" customHeight="1">
      <c r="C509" s="63"/>
      <c r="F509" s="64"/>
      <c r="G509" s="64"/>
      <c r="J509" s="65"/>
    </row>
    <row r="510" ht="15.75" customHeight="1">
      <c r="C510" s="63"/>
      <c r="F510" s="64"/>
      <c r="G510" s="64"/>
      <c r="J510" s="65"/>
    </row>
    <row r="511" ht="15.75" customHeight="1">
      <c r="C511" s="63"/>
      <c r="F511" s="64"/>
      <c r="G511" s="64"/>
      <c r="J511" s="65"/>
    </row>
    <row r="512" ht="15.75" customHeight="1">
      <c r="C512" s="63"/>
      <c r="F512" s="64"/>
      <c r="G512" s="64"/>
      <c r="J512" s="65"/>
    </row>
    <row r="513" ht="15.75" customHeight="1">
      <c r="C513" s="63"/>
      <c r="F513" s="64"/>
      <c r="G513" s="64"/>
      <c r="J513" s="65"/>
    </row>
    <row r="514" ht="15.75" customHeight="1">
      <c r="C514" s="63"/>
      <c r="F514" s="64"/>
      <c r="G514" s="64"/>
      <c r="J514" s="65"/>
    </row>
    <row r="515" ht="15.75" customHeight="1">
      <c r="C515" s="63"/>
      <c r="F515" s="64"/>
      <c r="G515" s="64"/>
      <c r="J515" s="65"/>
    </row>
    <row r="516" ht="15.75" customHeight="1">
      <c r="C516" s="63"/>
      <c r="F516" s="64"/>
      <c r="G516" s="64"/>
      <c r="J516" s="65"/>
    </row>
    <row r="517" ht="15.75" customHeight="1">
      <c r="C517" s="63"/>
      <c r="F517" s="64"/>
      <c r="G517" s="64"/>
      <c r="J517" s="65"/>
    </row>
    <row r="518" ht="15.75" customHeight="1">
      <c r="C518" s="63"/>
      <c r="F518" s="64"/>
      <c r="G518" s="64"/>
      <c r="J518" s="65"/>
    </row>
    <row r="519" ht="15.75" customHeight="1">
      <c r="C519" s="63"/>
      <c r="F519" s="64"/>
      <c r="G519" s="64"/>
      <c r="J519" s="65"/>
    </row>
    <row r="520" ht="15.75" customHeight="1">
      <c r="C520" s="63"/>
      <c r="F520" s="64"/>
      <c r="G520" s="64"/>
      <c r="J520" s="65"/>
    </row>
    <row r="521" ht="15.75" customHeight="1">
      <c r="C521" s="63"/>
      <c r="F521" s="64"/>
      <c r="G521" s="64"/>
      <c r="J521" s="65"/>
    </row>
    <row r="522" ht="15.75" customHeight="1">
      <c r="C522" s="63"/>
      <c r="F522" s="64"/>
      <c r="G522" s="64"/>
      <c r="J522" s="65"/>
    </row>
    <row r="523" ht="15.75" customHeight="1">
      <c r="C523" s="63"/>
      <c r="F523" s="64"/>
      <c r="G523" s="64"/>
      <c r="J523" s="65"/>
    </row>
    <row r="524" ht="15.75" customHeight="1">
      <c r="C524" s="63"/>
      <c r="F524" s="64"/>
      <c r="G524" s="64"/>
      <c r="J524" s="65"/>
    </row>
    <row r="525" ht="15.75" customHeight="1">
      <c r="C525" s="63"/>
      <c r="F525" s="64"/>
      <c r="G525" s="64"/>
      <c r="J525" s="65"/>
    </row>
    <row r="526" ht="15.75" customHeight="1">
      <c r="C526" s="63"/>
      <c r="F526" s="64"/>
      <c r="G526" s="64"/>
      <c r="J526" s="65"/>
    </row>
    <row r="527" ht="15.75" customHeight="1">
      <c r="C527" s="63"/>
      <c r="F527" s="64"/>
      <c r="G527" s="64"/>
      <c r="J527" s="65"/>
    </row>
    <row r="528" ht="15.75" customHeight="1">
      <c r="C528" s="63"/>
      <c r="F528" s="64"/>
      <c r="G528" s="64"/>
      <c r="J528" s="65"/>
    </row>
    <row r="529" ht="15.75" customHeight="1">
      <c r="C529" s="63"/>
      <c r="F529" s="64"/>
      <c r="G529" s="64"/>
      <c r="J529" s="65"/>
    </row>
    <row r="530" ht="15.75" customHeight="1">
      <c r="C530" s="63"/>
      <c r="F530" s="64"/>
      <c r="G530" s="64"/>
      <c r="J530" s="65"/>
    </row>
    <row r="531" ht="15.75" customHeight="1">
      <c r="C531" s="63"/>
      <c r="F531" s="64"/>
      <c r="G531" s="64"/>
      <c r="J531" s="65"/>
    </row>
    <row r="532" ht="15.75" customHeight="1">
      <c r="C532" s="63"/>
      <c r="F532" s="64"/>
      <c r="G532" s="64"/>
      <c r="J532" s="65"/>
    </row>
    <row r="533" ht="15.75" customHeight="1">
      <c r="C533" s="63"/>
      <c r="F533" s="64"/>
      <c r="G533" s="64"/>
      <c r="J533" s="65"/>
    </row>
    <row r="534" ht="15.75" customHeight="1">
      <c r="C534" s="63"/>
      <c r="F534" s="64"/>
      <c r="G534" s="64"/>
      <c r="J534" s="65"/>
    </row>
    <row r="535" ht="15.75" customHeight="1">
      <c r="C535" s="63"/>
      <c r="F535" s="64"/>
      <c r="G535" s="64"/>
      <c r="J535" s="65"/>
    </row>
    <row r="536" ht="15.75" customHeight="1">
      <c r="C536" s="63"/>
      <c r="F536" s="64"/>
      <c r="G536" s="64"/>
      <c r="J536" s="65"/>
    </row>
    <row r="537" ht="15.75" customHeight="1">
      <c r="C537" s="63"/>
      <c r="F537" s="64"/>
      <c r="G537" s="64"/>
      <c r="J537" s="65"/>
    </row>
    <row r="538" ht="15.75" customHeight="1">
      <c r="C538" s="63"/>
      <c r="F538" s="64"/>
      <c r="G538" s="64"/>
      <c r="J538" s="65"/>
    </row>
    <row r="539" ht="15.75" customHeight="1">
      <c r="C539" s="63"/>
      <c r="F539" s="64"/>
      <c r="G539" s="64"/>
      <c r="J539" s="65"/>
    </row>
    <row r="540" ht="15.75" customHeight="1">
      <c r="C540" s="63"/>
      <c r="F540" s="64"/>
      <c r="G540" s="64"/>
      <c r="J540" s="65"/>
    </row>
    <row r="541" ht="15.75" customHeight="1">
      <c r="C541" s="63"/>
      <c r="F541" s="64"/>
      <c r="G541" s="64"/>
      <c r="J541" s="65"/>
    </row>
    <row r="542" ht="15.75" customHeight="1">
      <c r="C542" s="63"/>
      <c r="F542" s="64"/>
      <c r="G542" s="64"/>
      <c r="J542" s="65"/>
    </row>
    <row r="543" ht="15.75" customHeight="1">
      <c r="C543" s="63"/>
      <c r="F543" s="64"/>
      <c r="G543" s="64"/>
      <c r="J543" s="65"/>
    </row>
    <row r="544" ht="15.75" customHeight="1">
      <c r="C544" s="63"/>
      <c r="F544" s="64"/>
      <c r="G544" s="64"/>
      <c r="J544" s="65"/>
    </row>
    <row r="545" ht="15.75" customHeight="1">
      <c r="C545" s="63"/>
      <c r="F545" s="64"/>
      <c r="G545" s="64"/>
      <c r="J545" s="65"/>
    </row>
    <row r="546" ht="15.75" customHeight="1">
      <c r="C546" s="63"/>
      <c r="F546" s="64"/>
      <c r="G546" s="64"/>
      <c r="J546" s="65"/>
    </row>
    <row r="547" ht="15.75" customHeight="1">
      <c r="C547" s="63"/>
      <c r="F547" s="64"/>
      <c r="G547" s="64"/>
      <c r="J547" s="65"/>
    </row>
    <row r="548" ht="15.75" customHeight="1">
      <c r="C548" s="63"/>
      <c r="F548" s="64"/>
      <c r="G548" s="64"/>
      <c r="J548" s="65"/>
    </row>
    <row r="549" ht="15.75" customHeight="1">
      <c r="C549" s="63"/>
      <c r="F549" s="64"/>
      <c r="G549" s="64"/>
      <c r="J549" s="65"/>
    </row>
    <row r="550" ht="15.75" customHeight="1">
      <c r="C550" s="63"/>
      <c r="F550" s="64"/>
      <c r="G550" s="64"/>
      <c r="J550" s="65"/>
    </row>
    <row r="551" ht="15.75" customHeight="1">
      <c r="C551" s="63"/>
      <c r="F551" s="64"/>
      <c r="G551" s="64"/>
      <c r="J551" s="65"/>
    </row>
    <row r="552" ht="15.75" customHeight="1">
      <c r="C552" s="63"/>
      <c r="F552" s="64"/>
      <c r="G552" s="64"/>
      <c r="J552" s="65"/>
    </row>
    <row r="553" ht="15.75" customHeight="1">
      <c r="C553" s="63"/>
      <c r="F553" s="64"/>
      <c r="G553" s="64"/>
      <c r="J553" s="65"/>
    </row>
    <row r="554" ht="15.75" customHeight="1">
      <c r="C554" s="63"/>
      <c r="F554" s="64"/>
      <c r="G554" s="64"/>
      <c r="J554" s="65"/>
    </row>
    <row r="555" ht="15.75" customHeight="1">
      <c r="C555" s="63"/>
      <c r="F555" s="64"/>
      <c r="G555" s="64"/>
      <c r="J555" s="65"/>
    </row>
    <row r="556" ht="15.75" customHeight="1">
      <c r="C556" s="63"/>
      <c r="F556" s="64"/>
      <c r="G556" s="64"/>
      <c r="J556" s="65"/>
    </row>
    <row r="557" ht="15.75" customHeight="1">
      <c r="C557" s="63"/>
      <c r="F557" s="64"/>
      <c r="G557" s="64"/>
      <c r="J557" s="65"/>
    </row>
    <row r="558" ht="15.75" customHeight="1">
      <c r="C558" s="63"/>
      <c r="F558" s="64"/>
      <c r="G558" s="64"/>
      <c r="J558" s="65"/>
    </row>
    <row r="559" ht="15.75" customHeight="1">
      <c r="C559" s="63"/>
      <c r="F559" s="64"/>
      <c r="G559" s="64"/>
      <c r="J559" s="65"/>
    </row>
    <row r="560" ht="15.75" customHeight="1">
      <c r="C560" s="63"/>
      <c r="F560" s="64"/>
      <c r="G560" s="64"/>
      <c r="J560" s="65"/>
    </row>
    <row r="561" ht="15.75" customHeight="1">
      <c r="C561" s="63"/>
      <c r="F561" s="64"/>
      <c r="G561" s="64"/>
      <c r="J561" s="65"/>
    </row>
    <row r="562" ht="15.75" customHeight="1">
      <c r="C562" s="63"/>
      <c r="F562" s="64"/>
      <c r="G562" s="64"/>
      <c r="J562" s="65"/>
    </row>
    <row r="563" ht="15.75" customHeight="1">
      <c r="C563" s="63"/>
      <c r="F563" s="64"/>
      <c r="G563" s="64"/>
      <c r="J563" s="65"/>
    </row>
    <row r="564" ht="15.75" customHeight="1">
      <c r="C564" s="63"/>
      <c r="F564" s="64"/>
      <c r="G564" s="64"/>
      <c r="J564" s="65"/>
    </row>
    <row r="565" ht="15.75" customHeight="1">
      <c r="C565" s="63"/>
      <c r="F565" s="64"/>
      <c r="G565" s="64"/>
      <c r="J565" s="65"/>
    </row>
    <row r="566" ht="15.75" customHeight="1">
      <c r="C566" s="63"/>
      <c r="F566" s="64"/>
      <c r="G566" s="64"/>
      <c r="J566" s="65"/>
    </row>
    <row r="567" ht="15.75" customHeight="1">
      <c r="C567" s="63"/>
      <c r="F567" s="64"/>
      <c r="G567" s="64"/>
      <c r="J567" s="65"/>
    </row>
    <row r="568" ht="15.75" customHeight="1">
      <c r="C568" s="63"/>
      <c r="F568" s="64"/>
      <c r="G568" s="64"/>
      <c r="J568" s="65"/>
    </row>
    <row r="569" ht="15.75" customHeight="1">
      <c r="C569" s="63"/>
      <c r="F569" s="64"/>
      <c r="G569" s="64"/>
      <c r="J569" s="65"/>
    </row>
    <row r="570" ht="15.75" customHeight="1">
      <c r="C570" s="63"/>
      <c r="F570" s="64"/>
      <c r="G570" s="64"/>
      <c r="J570" s="65"/>
    </row>
    <row r="571" ht="15.75" customHeight="1">
      <c r="C571" s="63"/>
      <c r="F571" s="64"/>
      <c r="G571" s="64"/>
      <c r="J571" s="65"/>
    </row>
    <row r="572" ht="15.75" customHeight="1">
      <c r="C572" s="63"/>
      <c r="F572" s="64"/>
      <c r="G572" s="64"/>
      <c r="J572" s="65"/>
    </row>
    <row r="573" ht="15.75" customHeight="1">
      <c r="C573" s="63"/>
      <c r="F573" s="64"/>
      <c r="G573" s="64"/>
      <c r="J573" s="65"/>
    </row>
    <row r="574" ht="15.75" customHeight="1">
      <c r="C574" s="63"/>
      <c r="F574" s="64"/>
      <c r="G574" s="64"/>
      <c r="J574" s="65"/>
    </row>
    <row r="575" ht="15.75" customHeight="1">
      <c r="C575" s="63"/>
      <c r="F575" s="64"/>
      <c r="G575" s="64"/>
      <c r="J575" s="65"/>
    </row>
    <row r="576" ht="15.75" customHeight="1">
      <c r="C576" s="63"/>
      <c r="F576" s="64"/>
      <c r="G576" s="64"/>
      <c r="J576" s="65"/>
    </row>
    <row r="577" ht="15.75" customHeight="1">
      <c r="C577" s="63"/>
      <c r="F577" s="64"/>
      <c r="G577" s="64"/>
      <c r="J577" s="65"/>
    </row>
    <row r="578" ht="15.75" customHeight="1">
      <c r="C578" s="63"/>
      <c r="F578" s="64"/>
      <c r="G578" s="64"/>
      <c r="J578" s="65"/>
    </row>
    <row r="579" ht="15.75" customHeight="1">
      <c r="C579" s="63"/>
      <c r="F579" s="64"/>
      <c r="G579" s="64"/>
      <c r="J579" s="65"/>
    </row>
    <row r="580" ht="15.75" customHeight="1">
      <c r="C580" s="63"/>
      <c r="F580" s="64"/>
      <c r="G580" s="64"/>
      <c r="J580" s="65"/>
    </row>
    <row r="581" ht="15.75" customHeight="1">
      <c r="C581" s="63"/>
      <c r="F581" s="64"/>
      <c r="G581" s="64"/>
      <c r="J581" s="65"/>
    </row>
    <row r="582" ht="15.75" customHeight="1">
      <c r="C582" s="63"/>
      <c r="F582" s="64"/>
      <c r="G582" s="64"/>
      <c r="J582" s="65"/>
    </row>
    <row r="583" ht="15.75" customHeight="1">
      <c r="C583" s="63"/>
      <c r="F583" s="64"/>
      <c r="G583" s="64"/>
      <c r="J583" s="65"/>
    </row>
    <row r="584" ht="15.75" customHeight="1">
      <c r="C584" s="63"/>
      <c r="F584" s="64"/>
      <c r="G584" s="64"/>
      <c r="J584" s="65"/>
    </row>
    <row r="585" ht="15.75" customHeight="1">
      <c r="C585" s="63"/>
      <c r="F585" s="64"/>
      <c r="G585" s="64"/>
      <c r="J585" s="65"/>
    </row>
    <row r="586" ht="15.75" customHeight="1">
      <c r="C586" s="63"/>
      <c r="F586" s="64"/>
      <c r="G586" s="64"/>
      <c r="J586" s="65"/>
    </row>
    <row r="587" ht="15.75" customHeight="1">
      <c r="C587" s="63"/>
      <c r="F587" s="64"/>
      <c r="G587" s="64"/>
      <c r="J587" s="65"/>
    </row>
    <row r="588" ht="15.75" customHeight="1">
      <c r="C588" s="63"/>
      <c r="F588" s="64"/>
      <c r="G588" s="64"/>
      <c r="J588" s="65"/>
    </row>
    <row r="589" ht="15.75" customHeight="1">
      <c r="C589" s="63"/>
      <c r="F589" s="64"/>
      <c r="G589" s="64"/>
      <c r="J589" s="65"/>
    </row>
    <row r="590" ht="15.75" customHeight="1">
      <c r="C590" s="63"/>
      <c r="F590" s="64"/>
      <c r="G590" s="64"/>
      <c r="J590" s="65"/>
    </row>
    <row r="591" ht="15.75" customHeight="1">
      <c r="C591" s="63"/>
      <c r="F591" s="64"/>
      <c r="G591" s="64"/>
      <c r="J591" s="65"/>
    </row>
    <row r="592" ht="15.75" customHeight="1">
      <c r="C592" s="63"/>
      <c r="F592" s="64"/>
      <c r="G592" s="64"/>
      <c r="J592" s="65"/>
    </row>
    <row r="593" ht="15.75" customHeight="1">
      <c r="C593" s="63"/>
      <c r="F593" s="64"/>
      <c r="G593" s="64"/>
      <c r="J593" s="65"/>
    </row>
    <row r="594" ht="15.75" customHeight="1">
      <c r="C594" s="63"/>
      <c r="F594" s="64"/>
      <c r="G594" s="64"/>
      <c r="J594" s="65"/>
    </row>
    <row r="595" ht="15.75" customHeight="1">
      <c r="C595" s="63"/>
      <c r="F595" s="64"/>
      <c r="G595" s="64"/>
      <c r="J595" s="65"/>
    </row>
    <row r="596" ht="15.75" customHeight="1">
      <c r="C596" s="63"/>
      <c r="F596" s="64"/>
      <c r="G596" s="64"/>
      <c r="J596" s="65"/>
    </row>
    <row r="597" ht="15.75" customHeight="1">
      <c r="C597" s="63"/>
      <c r="F597" s="64"/>
      <c r="G597" s="64"/>
      <c r="J597" s="65"/>
    </row>
    <row r="598" ht="15.75" customHeight="1">
      <c r="C598" s="63"/>
      <c r="F598" s="64"/>
      <c r="G598" s="64"/>
      <c r="J598" s="65"/>
    </row>
    <row r="599" ht="15.75" customHeight="1">
      <c r="C599" s="63"/>
      <c r="F599" s="64"/>
      <c r="G599" s="64"/>
      <c r="J599" s="65"/>
    </row>
    <row r="600" ht="15.75" customHeight="1">
      <c r="C600" s="63"/>
      <c r="F600" s="64"/>
      <c r="G600" s="64"/>
      <c r="J600" s="65"/>
    </row>
    <row r="601" ht="15.75" customHeight="1">
      <c r="C601" s="63"/>
      <c r="F601" s="64"/>
      <c r="G601" s="64"/>
      <c r="J601" s="65"/>
    </row>
    <row r="602" ht="15.75" customHeight="1">
      <c r="C602" s="63"/>
      <c r="F602" s="64"/>
      <c r="G602" s="64"/>
      <c r="J602" s="65"/>
    </row>
    <row r="603" ht="15.75" customHeight="1">
      <c r="C603" s="63"/>
      <c r="F603" s="64"/>
      <c r="G603" s="64"/>
      <c r="J603" s="65"/>
    </row>
    <row r="604" ht="15.75" customHeight="1">
      <c r="C604" s="63"/>
      <c r="F604" s="64"/>
      <c r="G604" s="64"/>
      <c r="J604" s="65"/>
    </row>
    <row r="605" ht="15.75" customHeight="1">
      <c r="C605" s="63"/>
      <c r="F605" s="64"/>
      <c r="G605" s="64"/>
      <c r="J605" s="65"/>
    </row>
    <row r="606" ht="15.75" customHeight="1">
      <c r="C606" s="63"/>
      <c r="F606" s="64"/>
      <c r="G606" s="64"/>
      <c r="J606" s="65"/>
    </row>
    <row r="607" ht="15.75" customHeight="1">
      <c r="C607" s="63"/>
      <c r="F607" s="64"/>
      <c r="G607" s="64"/>
      <c r="J607" s="65"/>
    </row>
    <row r="608" ht="15.75" customHeight="1">
      <c r="C608" s="63"/>
      <c r="F608" s="64"/>
      <c r="G608" s="64"/>
      <c r="J608" s="65"/>
    </row>
    <row r="609" ht="15.75" customHeight="1">
      <c r="C609" s="63"/>
      <c r="F609" s="64"/>
      <c r="G609" s="64"/>
      <c r="J609" s="65"/>
    </row>
    <row r="610" ht="15.75" customHeight="1">
      <c r="C610" s="63"/>
      <c r="F610" s="64"/>
      <c r="G610" s="64"/>
      <c r="J610" s="65"/>
    </row>
    <row r="611" ht="15.75" customHeight="1">
      <c r="C611" s="63"/>
      <c r="F611" s="64"/>
      <c r="G611" s="64"/>
      <c r="J611" s="65"/>
    </row>
    <row r="612" ht="15.75" customHeight="1">
      <c r="C612" s="63"/>
      <c r="F612" s="64"/>
      <c r="G612" s="64"/>
      <c r="J612" s="65"/>
    </row>
    <row r="613" ht="15.75" customHeight="1">
      <c r="C613" s="63"/>
      <c r="F613" s="64"/>
      <c r="G613" s="64"/>
      <c r="J613" s="65"/>
    </row>
    <row r="614" ht="15.75" customHeight="1">
      <c r="C614" s="63"/>
      <c r="F614" s="64"/>
      <c r="G614" s="64"/>
      <c r="J614" s="65"/>
    </row>
    <row r="615" ht="15.75" customHeight="1">
      <c r="C615" s="63"/>
      <c r="F615" s="64"/>
      <c r="G615" s="64"/>
      <c r="J615" s="65"/>
    </row>
    <row r="616" ht="15.75" customHeight="1">
      <c r="C616" s="63"/>
      <c r="F616" s="64"/>
      <c r="G616" s="64"/>
      <c r="J616" s="65"/>
    </row>
    <row r="617" ht="15.75" customHeight="1">
      <c r="C617" s="63"/>
      <c r="F617" s="64"/>
      <c r="G617" s="64"/>
      <c r="J617" s="65"/>
    </row>
    <row r="618" ht="15.75" customHeight="1">
      <c r="C618" s="63"/>
      <c r="F618" s="64"/>
      <c r="G618" s="64"/>
      <c r="J618" s="65"/>
    </row>
    <row r="619" ht="15.75" customHeight="1">
      <c r="C619" s="63"/>
      <c r="F619" s="64"/>
      <c r="G619" s="64"/>
      <c r="J619" s="65"/>
    </row>
    <row r="620" ht="15.75" customHeight="1">
      <c r="C620" s="63"/>
      <c r="F620" s="64"/>
      <c r="G620" s="64"/>
      <c r="J620" s="65"/>
    </row>
    <row r="621" ht="15.75" customHeight="1">
      <c r="C621" s="63"/>
      <c r="F621" s="64"/>
      <c r="G621" s="64"/>
      <c r="J621" s="65"/>
    </row>
    <row r="622" ht="15.75" customHeight="1">
      <c r="C622" s="63"/>
      <c r="F622" s="64"/>
      <c r="G622" s="64"/>
      <c r="J622" s="65"/>
    </row>
    <row r="623" ht="15.75" customHeight="1">
      <c r="C623" s="63"/>
      <c r="F623" s="64"/>
      <c r="G623" s="64"/>
      <c r="J623" s="65"/>
    </row>
    <row r="624" ht="15.75" customHeight="1">
      <c r="C624" s="63"/>
      <c r="F624" s="64"/>
      <c r="G624" s="64"/>
      <c r="J624" s="65"/>
    </row>
    <row r="625" ht="15.75" customHeight="1">
      <c r="C625" s="63"/>
      <c r="F625" s="64"/>
      <c r="G625" s="64"/>
      <c r="J625" s="65"/>
    </row>
    <row r="626" ht="15.75" customHeight="1">
      <c r="C626" s="63"/>
      <c r="F626" s="64"/>
      <c r="G626" s="64"/>
      <c r="J626" s="65"/>
    </row>
    <row r="627" ht="15.75" customHeight="1">
      <c r="C627" s="63"/>
      <c r="F627" s="64"/>
      <c r="G627" s="64"/>
      <c r="J627" s="65"/>
    </row>
    <row r="628" ht="15.75" customHeight="1">
      <c r="C628" s="63"/>
      <c r="F628" s="64"/>
      <c r="G628" s="64"/>
      <c r="J628" s="65"/>
    </row>
    <row r="629" ht="15.75" customHeight="1">
      <c r="C629" s="63"/>
      <c r="F629" s="64"/>
      <c r="G629" s="64"/>
      <c r="J629" s="65"/>
    </row>
    <row r="630" ht="15.75" customHeight="1">
      <c r="C630" s="63"/>
      <c r="F630" s="64"/>
      <c r="G630" s="64"/>
      <c r="J630" s="65"/>
    </row>
    <row r="631" ht="15.75" customHeight="1">
      <c r="C631" s="63"/>
      <c r="F631" s="64"/>
      <c r="G631" s="64"/>
      <c r="J631" s="65"/>
    </row>
    <row r="632" ht="15.75" customHeight="1">
      <c r="C632" s="63"/>
      <c r="F632" s="64"/>
      <c r="G632" s="64"/>
      <c r="J632" s="65"/>
    </row>
    <row r="633" ht="15.75" customHeight="1">
      <c r="C633" s="63"/>
      <c r="F633" s="64"/>
      <c r="G633" s="64"/>
      <c r="J633" s="65"/>
    </row>
    <row r="634" ht="15.75" customHeight="1">
      <c r="C634" s="63"/>
      <c r="F634" s="64"/>
      <c r="G634" s="64"/>
      <c r="J634" s="65"/>
    </row>
    <row r="635" ht="15.75" customHeight="1">
      <c r="C635" s="63"/>
      <c r="F635" s="64"/>
      <c r="G635" s="64"/>
      <c r="J635" s="65"/>
    </row>
    <row r="636" ht="15.75" customHeight="1">
      <c r="C636" s="63"/>
      <c r="F636" s="64"/>
      <c r="G636" s="64"/>
      <c r="J636" s="65"/>
    </row>
    <row r="637" ht="15.75" customHeight="1">
      <c r="C637" s="63"/>
      <c r="F637" s="64"/>
      <c r="G637" s="64"/>
      <c r="J637" s="65"/>
    </row>
    <row r="638" ht="15.75" customHeight="1">
      <c r="C638" s="63"/>
      <c r="F638" s="64"/>
      <c r="G638" s="64"/>
      <c r="J638" s="65"/>
    </row>
    <row r="639" ht="15.75" customHeight="1">
      <c r="C639" s="63"/>
      <c r="F639" s="64"/>
      <c r="G639" s="64"/>
      <c r="J639" s="65"/>
    </row>
    <row r="640" ht="15.75" customHeight="1">
      <c r="C640" s="63"/>
      <c r="F640" s="64"/>
      <c r="G640" s="64"/>
      <c r="J640" s="65"/>
    </row>
    <row r="641" ht="15.75" customHeight="1">
      <c r="C641" s="63"/>
      <c r="F641" s="64"/>
      <c r="G641" s="64"/>
      <c r="J641" s="65"/>
    </row>
    <row r="642" ht="15.75" customHeight="1">
      <c r="C642" s="63"/>
      <c r="F642" s="64"/>
      <c r="G642" s="64"/>
      <c r="J642" s="65"/>
    </row>
    <row r="643" ht="15.75" customHeight="1">
      <c r="C643" s="63"/>
      <c r="F643" s="64"/>
      <c r="G643" s="64"/>
      <c r="J643" s="65"/>
    </row>
    <row r="644" ht="15.75" customHeight="1">
      <c r="C644" s="63"/>
      <c r="F644" s="64"/>
      <c r="G644" s="64"/>
      <c r="J644" s="65"/>
    </row>
    <row r="645" ht="15.75" customHeight="1">
      <c r="C645" s="63"/>
      <c r="F645" s="64"/>
      <c r="G645" s="64"/>
      <c r="J645" s="65"/>
    </row>
    <row r="646" ht="15.75" customHeight="1">
      <c r="C646" s="63"/>
      <c r="F646" s="64"/>
      <c r="G646" s="64"/>
      <c r="J646" s="65"/>
    </row>
    <row r="647" ht="15.75" customHeight="1">
      <c r="C647" s="63"/>
      <c r="F647" s="64"/>
      <c r="G647" s="64"/>
      <c r="J647" s="65"/>
    </row>
    <row r="648" ht="15.75" customHeight="1">
      <c r="C648" s="63"/>
      <c r="F648" s="64"/>
      <c r="G648" s="64"/>
      <c r="J648" s="65"/>
    </row>
    <row r="649" ht="15.75" customHeight="1">
      <c r="C649" s="63"/>
      <c r="F649" s="64"/>
      <c r="G649" s="64"/>
      <c r="J649" s="65"/>
    </row>
    <row r="650" ht="15.75" customHeight="1">
      <c r="C650" s="63"/>
      <c r="F650" s="64"/>
      <c r="G650" s="64"/>
      <c r="J650" s="65"/>
    </row>
    <row r="651" ht="15.75" customHeight="1">
      <c r="C651" s="63"/>
      <c r="F651" s="64"/>
      <c r="G651" s="64"/>
      <c r="J651" s="65"/>
    </row>
    <row r="652" ht="15.75" customHeight="1">
      <c r="C652" s="63"/>
      <c r="F652" s="64"/>
      <c r="G652" s="64"/>
      <c r="J652" s="65"/>
    </row>
    <row r="653" ht="15.75" customHeight="1">
      <c r="C653" s="63"/>
      <c r="F653" s="64"/>
      <c r="G653" s="64"/>
      <c r="J653" s="65"/>
    </row>
    <row r="654" ht="15.75" customHeight="1">
      <c r="C654" s="63"/>
      <c r="F654" s="64"/>
      <c r="G654" s="64"/>
      <c r="J654" s="65"/>
    </row>
    <row r="655" ht="15.75" customHeight="1">
      <c r="C655" s="63"/>
      <c r="F655" s="64"/>
      <c r="G655" s="64"/>
      <c r="J655" s="65"/>
    </row>
    <row r="656" ht="15.75" customHeight="1">
      <c r="C656" s="63"/>
      <c r="F656" s="64"/>
      <c r="G656" s="64"/>
      <c r="J656" s="65"/>
    </row>
    <row r="657" ht="15.75" customHeight="1">
      <c r="C657" s="63"/>
      <c r="F657" s="64"/>
      <c r="G657" s="64"/>
      <c r="J657" s="65"/>
    </row>
    <row r="658" ht="15.75" customHeight="1">
      <c r="C658" s="63"/>
      <c r="F658" s="64"/>
      <c r="G658" s="64"/>
      <c r="J658" s="65"/>
    </row>
    <row r="659" ht="15.75" customHeight="1">
      <c r="C659" s="63"/>
      <c r="F659" s="64"/>
      <c r="G659" s="64"/>
      <c r="J659" s="65"/>
    </row>
    <row r="660" ht="15.75" customHeight="1">
      <c r="C660" s="63"/>
      <c r="F660" s="64"/>
      <c r="G660" s="64"/>
      <c r="J660" s="65"/>
    </row>
    <row r="661" ht="15.75" customHeight="1">
      <c r="C661" s="63"/>
      <c r="F661" s="64"/>
      <c r="G661" s="64"/>
      <c r="J661" s="65"/>
    </row>
    <row r="662" ht="15.75" customHeight="1">
      <c r="C662" s="63"/>
      <c r="F662" s="64"/>
      <c r="G662" s="64"/>
      <c r="J662" s="65"/>
    </row>
    <row r="663" ht="15.75" customHeight="1">
      <c r="C663" s="63"/>
      <c r="F663" s="64"/>
      <c r="G663" s="64"/>
      <c r="J663" s="65"/>
    </row>
    <row r="664" ht="15.75" customHeight="1">
      <c r="C664" s="63"/>
      <c r="F664" s="64"/>
      <c r="G664" s="64"/>
      <c r="J664" s="65"/>
    </row>
    <row r="665" ht="15.75" customHeight="1">
      <c r="C665" s="63"/>
      <c r="F665" s="64"/>
      <c r="G665" s="64"/>
      <c r="J665" s="65"/>
    </row>
    <row r="666" ht="15.75" customHeight="1">
      <c r="C666" s="63"/>
      <c r="F666" s="64"/>
      <c r="G666" s="64"/>
      <c r="J666" s="65"/>
    </row>
    <row r="667" ht="15.75" customHeight="1">
      <c r="C667" s="63"/>
      <c r="F667" s="64"/>
      <c r="G667" s="64"/>
      <c r="J667" s="65"/>
    </row>
    <row r="668" ht="15.75" customHeight="1">
      <c r="C668" s="63"/>
      <c r="F668" s="64"/>
      <c r="G668" s="64"/>
      <c r="J668" s="65"/>
    </row>
    <row r="669" ht="15.75" customHeight="1">
      <c r="C669" s="63"/>
      <c r="F669" s="64"/>
      <c r="G669" s="64"/>
      <c r="J669" s="65"/>
    </row>
    <row r="670" ht="15.75" customHeight="1">
      <c r="C670" s="63"/>
      <c r="F670" s="64"/>
      <c r="G670" s="64"/>
      <c r="J670" s="65"/>
    </row>
    <row r="671" ht="15.75" customHeight="1">
      <c r="C671" s="63"/>
      <c r="F671" s="64"/>
      <c r="G671" s="64"/>
      <c r="J671" s="65"/>
    </row>
    <row r="672" ht="15.75" customHeight="1">
      <c r="C672" s="63"/>
      <c r="F672" s="64"/>
      <c r="G672" s="64"/>
      <c r="J672" s="65"/>
    </row>
    <row r="673" ht="15.75" customHeight="1">
      <c r="C673" s="63"/>
      <c r="F673" s="64"/>
      <c r="G673" s="64"/>
      <c r="J673" s="65"/>
    </row>
    <row r="674" ht="15.75" customHeight="1">
      <c r="C674" s="63"/>
      <c r="F674" s="64"/>
      <c r="G674" s="64"/>
      <c r="J674" s="65"/>
    </row>
    <row r="675" ht="15.75" customHeight="1">
      <c r="C675" s="63"/>
      <c r="F675" s="64"/>
      <c r="G675" s="64"/>
      <c r="J675" s="65"/>
    </row>
    <row r="676" ht="15.75" customHeight="1">
      <c r="C676" s="63"/>
      <c r="F676" s="64"/>
      <c r="G676" s="64"/>
      <c r="J676" s="65"/>
    </row>
    <row r="677" ht="15.75" customHeight="1">
      <c r="C677" s="63"/>
      <c r="F677" s="64"/>
      <c r="G677" s="64"/>
      <c r="J677" s="65"/>
    </row>
    <row r="678" ht="15.75" customHeight="1">
      <c r="C678" s="63"/>
      <c r="F678" s="64"/>
      <c r="G678" s="64"/>
      <c r="J678" s="65"/>
    </row>
    <row r="679" ht="15.75" customHeight="1">
      <c r="C679" s="63"/>
      <c r="F679" s="64"/>
      <c r="G679" s="64"/>
      <c r="J679" s="65"/>
    </row>
    <row r="680" ht="15.75" customHeight="1">
      <c r="C680" s="63"/>
      <c r="F680" s="64"/>
      <c r="G680" s="64"/>
      <c r="J680" s="65"/>
    </row>
    <row r="681" ht="15.75" customHeight="1">
      <c r="C681" s="63"/>
      <c r="F681" s="64"/>
      <c r="G681" s="64"/>
      <c r="J681" s="65"/>
    </row>
    <row r="682" ht="15.75" customHeight="1">
      <c r="C682" s="63"/>
      <c r="F682" s="64"/>
      <c r="G682" s="64"/>
      <c r="J682" s="65"/>
    </row>
    <row r="683" ht="15.75" customHeight="1">
      <c r="C683" s="63"/>
      <c r="F683" s="64"/>
      <c r="G683" s="64"/>
      <c r="J683" s="65"/>
    </row>
    <row r="684" ht="15.75" customHeight="1">
      <c r="C684" s="63"/>
      <c r="F684" s="64"/>
      <c r="G684" s="64"/>
      <c r="J684" s="65"/>
    </row>
    <row r="685" ht="15.75" customHeight="1">
      <c r="C685" s="63"/>
      <c r="F685" s="64"/>
      <c r="G685" s="64"/>
      <c r="J685" s="65"/>
    </row>
    <row r="686" ht="15.75" customHeight="1">
      <c r="C686" s="63"/>
      <c r="F686" s="64"/>
      <c r="G686" s="64"/>
      <c r="J686" s="65"/>
    </row>
    <row r="687" ht="15.75" customHeight="1">
      <c r="C687" s="63"/>
      <c r="F687" s="64"/>
      <c r="G687" s="64"/>
      <c r="J687" s="65"/>
    </row>
    <row r="688" ht="15.75" customHeight="1">
      <c r="C688" s="63"/>
      <c r="F688" s="64"/>
      <c r="G688" s="64"/>
      <c r="J688" s="65"/>
    </row>
    <row r="689" ht="15.75" customHeight="1">
      <c r="C689" s="63"/>
      <c r="F689" s="64"/>
      <c r="G689" s="64"/>
      <c r="J689" s="65"/>
    </row>
    <row r="690" ht="15.75" customHeight="1">
      <c r="C690" s="63"/>
      <c r="F690" s="64"/>
      <c r="G690" s="64"/>
      <c r="J690" s="65"/>
    </row>
    <row r="691" ht="15.75" customHeight="1">
      <c r="C691" s="63"/>
      <c r="F691" s="64"/>
      <c r="G691" s="64"/>
      <c r="J691" s="65"/>
    </row>
    <row r="692" ht="15.75" customHeight="1">
      <c r="C692" s="63"/>
      <c r="F692" s="64"/>
      <c r="G692" s="64"/>
      <c r="J692" s="65"/>
    </row>
    <row r="693" ht="15.75" customHeight="1">
      <c r="C693" s="63"/>
      <c r="F693" s="64"/>
      <c r="G693" s="64"/>
      <c r="J693" s="65"/>
    </row>
    <row r="694" ht="15.75" customHeight="1">
      <c r="C694" s="63"/>
      <c r="F694" s="64"/>
      <c r="G694" s="64"/>
      <c r="J694" s="65"/>
    </row>
    <row r="695" ht="15.75" customHeight="1">
      <c r="C695" s="63"/>
      <c r="F695" s="64"/>
      <c r="G695" s="64"/>
      <c r="J695" s="65"/>
    </row>
    <row r="696" ht="15.75" customHeight="1">
      <c r="C696" s="63"/>
      <c r="F696" s="64"/>
      <c r="G696" s="64"/>
      <c r="J696" s="65"/>
    </row>
    <row r="697" ht="15.75" customHeight="1">
      <c r="C697" s="63"/>
      <c r="F697" s="64"/>
      <c r="G697" s="64"/>
      <c r="J697" s="65"/>
    </row>
    <row r="698" ht="15.75" customHeight="1">
      <c r="C698" s="63"/>
      <c r="F698" s="64"/>
      <c r="G698" s="64"/>
      <c r="J698" s="65"/>
    </row>
    <row r="699" ht="15.75" customHeight="1">
      <c r="C699" s="63"/>
      <c r="F699" s="64"/>
      <c r="G699" s="64"/>
      <c r="J699" s="65"/>
    </row>
    <row r="700" ht="15.75" customHeight="1">
      <c r="C700" s="63"/>
      <c r="F700" s="64"/>
      <c r="G700" s="64"/>
      <c r="J700" s="65"/>
    </row>
    <row r="701" ht="15.75" customHeight="1">
      <c r="C701" s="63"/>
      <c r="F701" s="64"/>
      <c r="G701" s="64"/>
      <c r="J701" s="65"/>
    </row>
    <row r="702" ht="15.75" customHeight="1">
      <c r="C702" s="63"/>
      <c r="F702" s="64"/>
      <c r="G702" s="64"/>
      <c r="J702" s="65"/>
    </row>
    <row r="703" ht="15.75" customHeight="1">
      <c r="C703" s="63"/>
      <c r="F703" s="64"/>
      <c r="G703" s="64"/>
      <c r="J703" s="65"/>
    </row>
    <row r="704" ht="15.75" customHeight="1">
      <c r="C704" s="63"/>
      <c r="F704" s="64"/>
      <c r="G704" s="64"/>
      <c r="J704" s="65"/>
    </row>
    <row r="705" ht="15.75" customHeight="1">
      <c r="C705" s="63"/>
      <c r="F705" s="64"/>
      <c r="G705" s="64"/>
      <c r="J705" s="65"/>
    </row>
    <row r="706" ht="15.75" customHeight="1">
      <c r="C706" s="63"/>
      <c r="F706" s="64"/>
      <c r="G706" s="64"/>
      <c r="J706" s="65"/>
    </row>
    <row r="707" ht="15.75" customHeight="1">
      <c r="C707" s="63"/>
      <c r="F707" s="64"/>
      <c r="G707" s="64"/>
      <c r="J707" s="65"/>
    </row>
    <row r="708" ht="15.75" customHeight="1">
      <c r="C708" s="63"/>
      <c r="F708" s="64"/>
      <c r="G708" s="64"/>
      <c r="J708" s="65"/>
    </row>
    <row r="709" ht="15.75" customHeight="1">
      <c r="C709" s="63"/>
      <c r="F709" s="64"/>
      <c r="G709" s="64"/>
      <c r="J709" s="65"/>
    </row>
    <row r="710" ht="15.75" customHeight="1">
      <c r="C710" s="63"/>
      <c r="F710" s="64"/>
      <c r="G710" s="64"/>
      <c r="J710" s="65"/>
    </row>
    <row r="711" ht="15.75" customHeight="1">
      <c r="C711" s="63"/>
      <c r="F711" s="64"/>
      <c r="G711" s="64"/>
      <c r="J711" s="65"/>
    </row>
    <row r="712" ht="15.75" customHeight="1">
      <c r="C712" s="63"/>
      <c r="F712" s="64"/>
      <c r="G712" s="64"/>
      <c r="J712" s="65"/>
    </row>
    <row r="713" ht="15.75" customHeight="1">
      <c r="C713" s="63"/>
      <c r="F713" s="64"/>
      <c r="G713" s="64"/>
      <c r="J713" s="65"/>
    </row>
    <row r="714" ht="15.75" customHeight="1">
      <c r="C714" s="63"/>
      <c r="F714" s="64"/>
      <c r="G714" s="64"/>
      <c r="J714" s="65"/>
    </row>
    <row r="715" ht="15.75" customHeight="1">
      <c r="C715" s="63"/>
      <c r="F715" s="64"/>
      <c r="G715" s="64"/>
      <c r="J715" s="65"/>
    </row>
    <row r="716" ht="15.75" customHeight="1">
      <c r="C716" s="63"/>
      <c r="F716" s="64"/>
      <c r="G716" s="64"/>
      <c r="J716" s="65"/>
    </row>
    <row r="717" ht="15.75" customHeight="1">
      <c r="C717" s="63"/>
      <c r="F717" s="64"/>
      <c r="G717" s="64"/>
      <c r="J717" s="65"/>
    </row>
    <row r="718" ht="15.75" customHeight="1">
      <c r="C718" s="63"/>
      <c r="F718" s="64"/>
      <c r="G718" s="64"/>
      <c r="J718" s="65"/>
    </row>
    <row r="719" ht="15.75" customHeight="1">
      <c r="C719" s="63"/>
      <c r="F719" s="64"/>
      <c r="G719" s="64"/>
      <c r="J719" s="65"/>
    </row>
    <row r="720" ht="15.75" customHeight="1">
      <c r="C720" s="63"/>
      <c r="F720" s="64"/>
      <c r="G720" s="64"/>
      <c r="J720" s="65"/>
    </row>
    <row r="721" ht="15.75" customHeight="1">
      <c r="C721" s="63"/>
      <c r="F721" s="64"/>
      <c r="G721" s="64"/>
      <c r="J721" s="65"/>
    </row>
    <row r="722" ht="15.75" customHeight="1">
      <c r="C722" s="63"/>
      <c r="F722" s="64"/>
      <c r="G722" s="64"/>
      <c r="J722" s="65"/>
    </row>
    <row r="723" ht="15.75" customHeight="1">
      <c r="C723" s="63"/>
      <c r="F723" s="64"/>
      <c r="G723" s="64"/>
      <c r="J723" s="65"/>
    </row>
    <row r="724" ht="15.75" customHeight="1">
      <c r="C724" s="63"/>
      <c r="F724" s="64"/>
      <c r="G724" s="64"/>
      <c r="J724" s="65"/>
    </row>
    <row r="725" ht="15.75" customHeight="1">
      <c r="C725" s="63"/>
      <c r="F725" s="64"/>
      <c r="G725" s="64"/>
      <c r="J725" s="65"/>
    </row>
    <row r="726" ht="15.75" customHeight="1">
      <c r="C726" s="63"/>
      <c r="F726" s="64"/>
      <c r="G726" s="64"/>
      <c r="J726" s="65"/>
    </row>
    <row r="727" ht="15.75" customHeight="1">
      <c r="C727" s="63"/>
      <c r="F727" s="64"/>
      <c r="G727" s="64"/>
      <c r="J727" s="65"/>
    </row>
    <row r="728" ht="15.75" customHeight="1">
      <c r="C728" s="63"/>
      <c r="F728" s="64"/>
      <c r="G728" s="64"/>
      <c r="J728" s="65"/>
    </row>
    <row r="729" ht="15.75" customHeight="1">
      <c r="C729" s="63"/>
      <c r="F729" s="64"/>
      <c r="G729" s="64"/>
      <c r="J729" s="65"/>
    </row>
    <row r="730" ht="15.75" customHeight="1">
      <c r="C730" s="63"/>
      <c r="F730" s="64"/>
      <c r="G730" s="64"/>
      <c r="J730" s="65"/>
    </row>
    <row r="731" ht="15.75" customHeight="1">
      <c r="C731" s="63"/>
      <c r="F731" s="64"/>
      <c r="G731" s="64"/>
      <c r="J731" s="65"/>
    </row>
    <row r="732" ht="15.75" customHeight="1">
      <c r="C732" s="63"/>
      <c r="F732" s="64"/>
      <c r="G732" s="64"/>
      <c r="J732" s="65"/>
    </row>
    <row r="733" ht="15.75" customHeight="1">
      <c r="C733" s="63"/>
      <c r="F733" s="64"/>
      <c r="G733" s="64"/>
      <c r="J733" s="65"/>
    </row>
    <row r="734" ht="15.75" customHeight="1">
      <c r="C734" s="63"/>
      <c r="F734" s="64"/>
      <c r="G734" s="64"/>
      <c r="J734" s="65"/>
    </row>
    <row r="735" ht="15.75" customHeight="1">
      <c r="C735" s="63"/>
      <c r="F735" s="64"/>
      <c r="G735" s="64"/>
      <c r="J735" s="65"/>
    </row>
    <row r="736" ht="15.75" customHeight="1">
      <c r="C736" s="63"/>
      <c r="F736" s="64"/>
      <c r="G736" s="64"/>
      <c r="J736" s="65"/>
    </row>
    <row r="737" ht="15.75" customHeight="1">
      <c r="C737" s="63"/>
      <c r="F737" s="64"/>
      <c r="G737" s="64"/>
      <c r="J737" s="65"/>
    </row>
    <row r="738" ht="15.75" customHeight="1">
      <c r="C738" s="63"/>
      <c r="F738" s="64"/>
      <c r="G738" s="64"/>
      <c r="J738" s="65"/>
    </row>
    <row r="739" ht="15.75" customHeight="1">
      <c r="C739" s="63"/>
      <c r="F739" s="64"/>
      <c r="G739" s="64"/>
      <c r="J739" s="65"/>
    </row>
    <row r="740" ht="15.75" customHeight="1">
      <c r="C740" s="63"/>
      <c r="F740" s="64"/>
      <c r="G740" s="64"/>
      <c r="J740" s="65"/>
    </row>
    <row r="741" ht="15.75" customHeight="1">
      <c r="C741" s="63"/>
      <c r="F741" s="64"/>
      <c r="G741" s="64"/>
      <c r="J741" s="65"/>
    </row>
    <row r="742" ht="15.75" customHeight="1">
      <c r="C742" s="63"/>
      <c r="F742" s="64"/>
      <c r="G742" s="64"/>
      <c r="J742" s="65"/>
    </row>
    <row r="743" ht="15.75" customHeight="1">
      <c r="C743" s="63"/>
      <c r="F743" s="64"/>
      <c r="G743" s="64"/>
      <c r="J743" s="65"/>
    </row>
    <row r="744" ht="15.75" customHeight="1">
      <c r="C744" s="63"/>
      <c r="F744" s="64"/>
      <c r="G744" s="64"/>
      <c r="J744" s="65"/>
    </row>
    <row r="745" ht="15.75" customHeight="1">
      <c r="C745" s="63"/>
      <c r="F745" s="64"/>
      <c r="G745" s="64"/>
      <c r="J745" s="65"/>
    </row>
    <row r="746" ht="15.75" customHeight="1">
      <c r="C746" s="63"/>
      <c r="F746" s="64"/>
      <c r="G746" s="64"/>
      <c r="J746" s="65"/>
    </row>
    <row r="747" ht="15.75" customHeight="1">
      <c r="C747" s="63"/>
      <c r="F747" s="64"/>
      <c r="G747" s="64"/>
      <c r="J747" s="65"/>
    </row>
    <row r="748" ht="15.75" customHeight="1">
      <c r="C748" s="63"/>
      <c r="F748" s="64"/>
      <c r="G748" s="64"/>
      <c r="J748" s="65"/>
    </row>
    <row r="749" ht="15.75" customHeight="1">
      <c r="C749" s="63"/>
      <c r="F749" s="64"/>
      <c r="G749" s="64"/>
      <c r="J749" s="65"/>
    </row>
    <row r="750" ht="15.75" customHeight="1">
      <c r="C750" s="63"/>
      <c r="F750" s="64"/>
      <c r="G750" s="64"/>
      <c r="J750" s="65"/>
    </row>
    <row r="751" ht="15.75" customHeight="1">
      <c r="C751" s="63"/>
      <c r="F751" s="64"/>
      <c r="G751" s="64"/>
      <c r="J751" s="65"/>
    </row>
    <row r="752" ht="15.75" customHeight="1">
      <c r="C752" s="63"/>
      <c r="F752" s="64"/>
      <c r="G752" s="64"/>
      <c r="J752" s="65"/>
    </row>
    <row r="753" ht="15.75" customHeight="1">
      <c r="C753" s="63"/>
      <c r="F753" s="64"/>
      <c r="G753" s="64"/>
      <c r="J753" s="65"/>
    </row>
    <row r="754" ht="15.75" customHeight="1">
      <c r="C754" s="63"/>
      <c r="F754" s="64"/>
      <c r="G754" s="64"/>
      <c r="J754" s="65"/>
    </row>
    <row r="755" ht="15.75" customHeight="1">
      <c r="C755" s="63"/>
      <c r="F755" s="64"/>
      <c r="G755" s="64"/>
      <c r="J755" s="65"/>
    </row>
    <row r="756" ht="15.75" customHeight="1">
      <c r="C756" s="63"/>
      <c r="F756" s="64"/>
      <c r="G756" s="64"/>
      <c r="J756" s="65"/>
    </row>
    <row r="757" ht="15.75" customHeight="1">
      <c r="C757" s="63"/>
      <c r="F757" s="64"/>
      <c r="G757" s="64"/>
      <c r="J757" s="65"/>
    </row>
    <row r="758" ht="15.75" customHeight="1">
      <c r="C758" s="63"/>
      <c r="F758" s="64"/>
      <c r="G758" s="64"/>
      <c r="J758" s="65"/>
    </row>
    <row r="759" ht="15.75" customHeight="1">
      <c r="C759" s="63"/>
      <c r="F759" s="64"/>
      <c r="G759" s="64"/>
      <c r="J759" s="65"/>
    </row>
    <row r="760" ht="15.75" customHeight="1">
      <c r="C760" s="63"/>
      <c r="F760" s="64"/>
      <c r="G760" s="64"/>
      <c r="J760" s="65"/>
    </row>
    <row r="761" ht="15.75" customHeight="1">
      <c r="C761" s="63"/>
      <c r="F761" s="64"/>
      <c r="G761" s="64"/>
      <c r="J761" s="65"/>
    </row>
    <row r="762" ht="15.75" customHeight="1">
      <c r="C762" s="63"/>
      <c r="F762" s="64"/>
      <c r="G762" s="64"/>
      <c r="J762" s="65"/>
    </row>
    <row r="763" ht="15.75" customHeight="1">
      <c r="C763" s="63"/>
      <c r="F763" s="64"/>
      <c r="G763" s="64"/>
      <c r="J763" s="65"/>
    </row>
    <row r="764" ht="15.75" customHeight="1">
      <c r="C764" s="63"/>
      <c r="F764" s="64"/>
      <c r="G764" s="64"/>
      <c r="J764" s="65"/>
    </row>
    <row r="765" ht="15.75" customHeight="1">
      <c r="C765" s="63"/>
      <c r="F765" s="64"/>
      <c r="G765" s="64"/>
      <c r="J765" s="65"/>
    </row>
    <row r="766" ht="15.75" customHeight="1">
      <c r="C766" s="63"/>
      <c r="F766" s="64"/>
      <c r="G766" s="64"/>
      <c r="J766" s="65"/>
    </row>
    <row r="767" ht="15.75" customHeight="1">
      <c r="C767" s="63"/>
      <c r="F767" s="64"/>
      <c r="G767" s="64"/>
      <c r="J767" s="65"/>
    </row>
    <row r="768" ht="15.75" customHeight="1">
      <c r="C768" s="63"/>
      <c r="F768" s="64"/>
      <c r="G768" s="64"/>
      <c r="J768" s="65"/>
    </row>
    <row r="769" ht="15.75" customHeight="1">
      <c r="C769" s="63"/>
      <c r="F769" s="64"/>
      <c r="G769" s="64"/>
      <c r="J769" s="65"/>
    </row>
    <row r="770" ht="15.75" customHeight="1">
      <c r="C770" s="63"/>
      <c r="F770" s="64"/>
      <c r="G770" s="64"/>
      <c r="J770" s="65"/>
    </row>
    <row r="771" ht="15.75" customHeight="1">
      <c r="C771" s="63"/>
      <c r="F771" s="64"/>
      <c r="G771" s="64"/>
      <c r="J771" s="65"/>
    </row>
    <row r="772" ht="15.75" customHeight="1">
      <c r="C772" s="63"/>
      <c r="F772" s="64"/>
      <c r="G772" s="64"/>
      <c r="J772" s="65"/>
    </row>
    <row r="773" ht="15.75" customHeight="1">
      <c r="C773" s="63"/>
      <c r="F773" s="64"/>
      <c r="G773" s="64"/>
      <c r="J773" s="65"/>
    </row>
    <row r="774" ht="15.75" customHeight="1">
      <c r="C774" s="63"/>
      <c r="F774" s="64"/>
      <c r="G774" s="64"/>
      <c r="J774" s="65"/>
    </row>
    <row r="775" ht="15.75" customHeight="1">
      <c r="C775" s="63"/>
      <c r="F775" s="64"/>
      <c r="G775" s="64"/>
      <c r="J775" s="65"/>
    </row>
    <row r="776" ht="15.75" customHeight="1">
      <c r="C776" s="63"/>
      <c r="F776" s="64"/>
      <c r="G776" s="64"/>
      <c r="J776" s="65"/>
    </row>
    <row r="777" ht="15.75" customHeight="1">
      <c r="C777" s="63"/>
      <c r="F777" s="64"/>
      <c r="G777" s="64"/>
      <c r="J777" s="65"/>
    </row>
    <row r="778" ht="15.75" customHeight="1">
      <c r="C778" s="63"/>
      <c r="F778" s="64"/>
      <c r="G778" s="64"/>
      <c r="J778" s="65"/>
    </row>
    <row r="779" ht="15.75" customHeight="1">
      <c r="C779" s="63"/>
      <c r="F779" s="64"/>
      <c r="G779" s="64"/>
      <c r="J779" s="65"/>
    </row>
    <row r="780" ht="15.75" customHeight="1">
      <c r="C780" s="63"/>
      <c r="F780" s="64"/>
      <c r="G780" s="64"/>
      <c r="J780" s="65"/>
    </row>
    <row r="781" ht="15.75" customHeight="1">
      <c r="C781" s="63"/>
      <c r="F781" s="64"/>
      <c r="G781" s="64"/>
      <c r="J781" s="65"/>
    </row>
    <row r="782" ht="15.75" customHeight="1">
      <c r="C782" s="63"/>
      <c r="F782" s="64"/>
      <c r="G782" s="64"/>
      <c r="J782" s="65"/>
    </row>
    <row r="783" ht="15.75" customHeight="1">
      <c r="C783" s="63"/>
      <c r="F783" s="64"/>
      <c r="G783" s="64"/>
      <c r="J783" s="65"/>
    </row>
    <row r="784" ht="15.75" customHeight="1">
      <c r="C784" s="63"/>
      <c r="F784" s="64"/>
      <c r="G784" s="64"/>
      <c r="J784" s="65"/>
    </row>
    <row r="785" ht="15.75" customHeight="1">
      <c r="C785" s="63"/>
      <c r="F785" s="64"/>
      <c r="G785" s="64"/>
      <c r="J785" s="65"/>
    </row>
    <row r="786" ht="15.75" customHeight="1">
      <c r="C786" s="63"/>
      <c r="F786" s="64"/>
      <c r="G786" s="64"/>
      <c r="J786" s="65"/>
    </row>
    <row r="787" ht="15.75" customHeight="1">
      <c r="C787" s="63"/>
      <c r="F787" s="64"/>
      <c r="G787" s="64"/>
      <c r="J787" s="65"/>
    </row>
    <row r="788" ht="15.75" customHeight="1">
      <c r="C788" s="63"/>
      <c r="F788" s="64"/>
      <c r="G788" s="64"/>
      <c r="J788" s="65"/>
    </row>
    <row r="789" ht="15.75" customHeight="1">
      <c r="C789" s="63"/>
      <c r="F789" s="64"/>
      <c r="G789" s="64"/>
      <c r="J789" s="65"/>
    </row>
    <row r="790" ht="15.75" customHeight="1">
      <c r="C790" s="63"/>
      <c r="F790" s="64"/>
      <c r="G790" s="64"/>
      <c r="J790" s="65"/>
    </row>
    <row r="791" ht="15.75" customHeight="1">
      <c r="C791" s="63"/>
      <c r="F791" s="64"/>
      <c r="G791" s="64"/>
      <c r="J791" s="65"/>
    </row>
    <row r="792" ht="15.75" customHeight="1">
      <c r="C792" s="63"/>
      <c r="F792" s="64"/>
      <c r="G792" s="64"/>
      <c r="J792" s="65"/>
    </row>
    <row r="793" ht="15.75" customHeight="1">
      <c r="C793" s="63"/>
      <c r="F793" s="64"/>
      <c r="G793" s="64"/>
      <c r="J793" s="65"/>
    </row>
    <row r="794" ht="15.75" customHeight="1">
      <c r="C794" s="63"/>
      <c r="F794" s="64"/>
      <c r="G794" s="64"/>
      <c r="J794" s="65"/>
    </row>
    <row r="795" ht="15.75" customHeight="1">
      <c r="C795" s="63"/>
      <c r="F795" s="64"/>
      <c r="G795" s="64"/>
      <c r="J795" s="65"/>
    </row>
    <row r="796" ht="15.75" customHeight="1">
      <c r="C796" s="63"/>
      <c r="F796" s="64"/>
      <c r="G796" s="64"/>
      <c r="J796" s="65"/>
    </row>
    <row r="797" ht="15.75" customHeight="1">
      <c r="C797" s="63"/>
      <c r="F797" s="64"/>
      <c r="G797" s="64"/>
      <c r="J797" s="65"/>
    </row>
    <row r="798" ht="15.75" customHeight="1">
      <c r="C798" s="63"/>
      <c r="F798" s="64"/>
      <c r="G798" s="64"/>
      <c r="J798" s="65"/>
    </row>
    <row r="799" ht="15.75" customHeight="1">
      <c r="C799" s="63"/>
      <c r="F799" s="64"/>
      <c r="G799" s="64"/>
      <c r="J799" s="65"/>
    </row>
    <row r="800" ht="15.75" customHeight="1">
      <c r="C800" s="63"/>
      <c r="F800" s="64"/>
      <c r="G800" s="64"/>
      <c r="J800" s="65"/>
    </row>
    <row r="801" ht="15.75" customHeight="1">
      <c r="C801" s="63"/>
      <c r="F801" s="64"/>
      <c r="G801" s="64"/>
      <c r="J801" s="65"/>
    </row>
    <row r="802" ht="15.75" customHeight="1">
      <c r="C802" s="63"/>
      <c r="F802" s="64"/>
      <c r="G802" s="64"/>
      <c r="J802" s="65"/>
    </row>
    <row r="803" ht="15.75" customHeight="1">
      <c r="C803" s="63"/>
      <c r="F803" s="64"/>
      <c r="G803" s="64"/>
      <c r="J803" s="65"/>
    </row>
    <row r="804" ht="15.75" customHeight="1">
      <c r="C804" s="63"/>
      <c r="F804" s="64"/>
      <c r="G804" s="64"/>
      <c r="J804" s="65"/>
    </row>
    <row r="805" ht="15.75" customHeight="1">
      <c r="C805" s="63"/>
      <c r="F805" s="64"/>
      <c r="G805" s="64"/>
      <c r="J805" s="65"/>
    </row>
    <row r="806" ht="15.75" customHeight="1">
      <c r="C806" s="63"/>
      <c r="F806" s="64"/>
      <c r="G806" s="64"/>
      <c r="J806" s="65"/>
    </row>
    <row r="807" ht="15.75" customHeight="1">
      <c r="C807" s="63"/>
      <c r="F807" s="64"/>
      <c r="G807" s="64"/>
      <c r="J807" s="65"/>
    </row>
    <row r="808" ht="15.75" customHeight="1">
      <c r="C808" s="63"/>
      <c r="F808" s="64"/>
      <c r="G808" s="64"/>
      <c r="J808" s="65"/>
    </row>
    <row r="809" ht="15.75" customHeight="1">
      <c r="C809" s="63"/>
      <c r="F809" s="64"/>
      <c r="G809" s="64"/>
      <c r="J809" s="65"/>
    </row>
    <row r="810" ht="15.75" customHeight="1">
      <c r="C810" s="63"/>
      <c r="F810" s="64"/>
      <c r="G810" s="64"/>
      <c r="J810" s="65"/>
    </row>
    <row r="811" ht="15.75" customHeight="1">
      <c r="C811" s="63"/>
      <c r="F811" s="64"/>
      <c r="G811" s="64"/>
      <c r="J811" s="65"/>
    </row>
    <row r="812" ht="15.75" customHeight="1">
      <c r="C812" s="63"/>
      <c r="F812" s="64"/>
      <c r="G812" s="64"/>
      <c r="J812" s="65"/>
    </row>
    <row r="813" ht="15.75" customHeight="1">
      <c r="C813" s="63"/>
      <c r="F813" s="64"/>
      <c r="G813" s="64"/>
      <c r="J813" s="65"/>
    </row>
    <row r="814" ht="15.75" customHeight="1">
      <c r="C814" s="63"/>
      <c r="F814" s="64"/>
      <c r="G814" s="64"/>
      <c r="J814" s="65"/>
    </row>
    <row r="815" ht="15.75" customHeight="1">
      <c r="C815" s="63"/>
      <c r="F815" s="64"/>
      <c r="G815" s="64"/>
      <c r="J815" s="65"/>
    </row>
    <row r="816" ht="15.75" customHeight="1">
      <c r="C816" s="63"/>
      <c r="F816" s="64"/>
      <c r="G816" s="64"/>
      <c r="J816" s="65"/>
    </row>
    <row r="817" ht="15.75" customHeight="1">
      <c r="C817" s="63"/>
      <c r="F817" s="64"/>
      <c r="G817" s="64"/>
      <c r="J817" s="65"/>
    </row>
    <row r="818" ht="15.75" customHeight="1">
      <c r="C818" s="63"/>
      <c r="F818" s="64"/>
      <c r="G818" s="64"/>
      <c r="J818" s="65"/>
    </row>
    <row r="819" ht="15.75" customHeight="1">
      <c r="C819" s="63"/>
      <c r="F819" s="64"/>
      <c r="G819" s="64"/>
      <c r="J819" s="65"/>
    </row>
    <row r="820" ht="15.75" customHeight="1">
      <c r="C820" s="63"/>
      <c r="F820" s="64"/>
      <c r="G820" s="64"/>
      <c r="J820" s="65"/>
    </row>
    <row r="821" ht="15.75" customHeight="1">
      <c r="C821" s="63"/>
      <c r="F821" s="64"/>
      <c r="G821" s="64"/>
      <c r="J821" s="65"/>
    </row>
    <row r="822" ht="15.75" customHeight="1">
      <c r="C822" s="63"/>
      <c r="F822" s="64"/>
      <c r="G822" s="64"/>
      <c r="J822" s="65"/>
    </row>
    <row r="823" ht="15.75" customHeight="1">
      <c r="C823" s="63"/>
      <c r="F823" s="64"/>
      <c r="G823" s="64"/>
      <c r="J823" s="65"/>
    </row>
    <row r="824" ht="15.75" customHeight="1">
      <c r="C824" s="63"/>
      <c r="F824" s="64"/>
      <c r="G824" s="64"/>
      <c r="J824" s="65"/>
    </row>
    <row r="825" ht="15.75" customHeight="1">
      <c r="C825" s="63"/>
      <c r="F825" s="64"/>
      <c r="G825" s="64"/>
      <c r="J825" s="65"/>
    </row>
    <row r="826" ht="15.75" customHeight="1">
      <c r="C826" s="63"/>
      <c r="F826" s="64"/>
      <c r="G826" s="64"/>
      <c r="J826" s="65"/>
    </row>
    <row r="827" ht="15.75" customHeight="1">
      <c r="C827" s="63"/>
      <c r="F827" s="64"/>
      <c r="G827" s="64"/>
      <c r="J827" s="65"/>
    </row>
    <row r="828" ht="15.75" customHeight="1">
      <c r="C828" s="63"/>
      <c r="F828" s="64"/>
      <c r="G828" s="64"/>
      <c r="J828" s="65"/>
    </row>
    <row r="829" ht="15.75" customHeight="1">
      <c r="C829" s="63"/>
      <c r="F829" s="64"/>
      <c r="G829" s="64"/>
      <c r="J829" s="65"/>
    </row>
    <row r="830" ht="15.75" customHeight="1">
      <c r="C830" s="63"/>
      <c r="F830" s="64"/>
      <c r="G830" s="64"/>
      <c r="J830" s="65"/>
    </row>
    <row r="831" ht="15.75" customHeight="1">
      <c r="C831" s="63"/>
      <c r="F831" s="64"/>
      <c r="G831" s="64"/>
      <c r="J831" s="65"/>
    </row>
    <row r="832" ht="15.75" customHeight="1">
      <c r="C832" s="63"/>
      <c r="F832" s="64"/>
      <c r="G832" s="64"/>
      <c r="J832" s="65"/>
    </row>
    <row r="833" ht="15.75" customHeight="1">
      <c r="C833" s="63"/>
      <c r="F833" s="64"/>
      <c r="G833" s="64"/>
      <c r="J833" s="65"/>
    </row>
    <row r="834" ht="15.75" customHeight="1">
      <c r="C834" s="63"/>
      <c r="F834" s="64"/>
      <c r="G834" s="64"/>
      <c r="J834" s="65"/>
    </row>
    <row r="835" ht="15.75" customHeight="1">
      <c r="C835" s="63"/>
      <c r="F835" s="64"/>
      <c r="G835" s="64"/>
      <c r="J835" s="65"/>
    </row>
    <row r="836" ht="15.75" customHeight="1">
      <c r="C836" s="63"/>
      <c r="F836" s="64"/>
      <c r="G836" s="64"/>
      <c r="J836" s="65"/>
    </row>
    <row r="837" ht="15.75" customHeight="1">
      <c r="C837" s="63"/>
      <c r="F837" s="64"/>
      <c r="G837" s="64"/>
      <c r="J837" s="65"/>
    </row>
    <row r="838" ht="15.75" customHeight="1">
      <c r="C838" s="63"/>
      <c r="F838" s="64"/>
      <c r="G838" s="64"/>
      <c r="J838" s="65"/>
    </row>
    <row r="839" ht="15.75" customHeight="1">
      <c r="C839" s="63"/>
      <c r="F839" s="64"/>
      <c r="G839" s="64"/>
      <c r="J839" s="65"/>
    </row>
    <row r="840" ht="15.75" customHeight="1">
      <c r="C840" s="63"/>
      <c r="F840" s="64"/>
      <c r="G840" s="64"/>
      <c r="J840" s="65"/>
    </row>
    <row r="841" ht="15.75" customHeight="1">
      <c r="C841" s="63"/>
      <c r="F841" s="64"/>
      <c r="G841" s="64"/>
      <c r="J841" s="65"/>
    </row>
    <row r="842" ht="15.75" customHeight="1">
      <c r="C842" s="63"/>
      <c r="F842" s="64"/>
      <c r="G842" s="64"/>
      <c r="J842" s="65"/>
    </row>
    <row r="843" ht="15.75" customHeight="1">
      <c r="C843" s="63"/>
      <c r="F843" s="64"/>
      <c r="G843" s="64"/>
      <c r="J843" s="65"/>
    </row>
    <row r="844" ht="15.75" customHeight="1">
      <c r="C844" s="63"/>
      <c r="F844" s="64"/>
      <c r="G844" s="64"/>
      <c r="J844" s="65"/>
    </row>
    <row r="845" ht="15.75" customHeight="1">
      <c r="C845" s="63"/>
      <c r="F845" s="64"/>
      <c r="G845" s="64"/>
      <c r="J845" s="65"/>
    </row>
    <row r="846" ht="15.75" customHeight="1">
      <c r="C846" s="63"/>
      <c r="F846" s="64"/>
      <c r="G846" s="64"/>
      <c r="J846" s="65"/>
    </row>
    <row r="847" ht="15.75" customHeight="1">
      <c r="C847" s="63"/>
      <c r="F847" s="64"/>
      <c r="G847" s="64"/>
      <c r="J847" s="65"/>
    </row>
    <row r="848" ht="15.75" customHeight="1">
      <c r="C848" s="63"/>
      <c r="F848" s="64"/>
      <c r="G848" s="64"/>
      <c r="J848" s="65"/>
    </row>
    <row r="849" ht="15.75" customHeight="1">
      <c r="C849" s="63"/>
      <c r="F849" s="64"/>
      <c r="G849" s="64"/>
      <c r="J849" s="65"/>
    </row>
    <row r="850" ht="15.75" customHeight="1">
      <c r="C850" s="63"/>
      <c r="F850" s="64"/>
      <c r="G850" s="64"/>
      <c r="J850" s="65"/>
    </row>
    <row r="851" ht="15.75" customHeight="1">
      <c r="C851" s="63"/>
      <c r="F851" s="64"/>
      <c r="G851" s="64"/>
      <c r="J851" s="65"/>
    </row>
    <row r="852" ht="15.75" customHeight="1">
      <c r="C852" s="63"/>
      <c r="F852" s="64"/>
      <c r="G852" s="64"/>
      <c r="J852" s="65"/>
    </row>
    <row r="853" ht="15.75" customHeight="1">
      <c r="C853" s="63"/>
      <c r="F853" s="64"/>
      <c r="G853" s="64"/>
      <c r="J853" s="65"/>
    </row>
    <row r="854" ht="15.75" customHeight="1">
      <c r="C854" s="63"/>
      <c r="F854" s="64"/>
      <c r="G854" s="64"/>
      <c r="J854" s="65"/>
    </row>
    <row r="855" ht="15.75" customHeight="1">
      <c r="C855" s="63"/>
      <c r="F855" s="64"/>
      <c r="G855" s="64"/>
      <c r="J855" s="65"/>
    </row>
    <row r="856" ht="15.75" customHeight="1">
      <c r="C856" s="63"/>
      <c r="F856" s="64"/>
      <c r="G856" s="64"/>
      <c r="J856" s="65"/>
    </row>
    <row r="857" ht="15.75" customHeight="1">
      <c r="C857" s="63"/>
      <c r="F857" s="64"/>
      <c r="G857" s="64"/>
      <c r="J857" s="65"/>
    </row>
    <row r="858" ht="15.75" customHeight="1">
      <c r="C858" s="63"/>
      <c r="F858" s="64"/>
      <c r="G858" s="64"/>
      <c r="J858" s="65"/>
    </row>
    <row r="859" ht="15.75" customHeight="1">
      <c r="C859" s="63"/>
      <c r="F859" s="64"/>
      <c r="G859" s="64"/>
      <c r="J859" s="65"/>
    </row>
    <row r="860" ht="15.75" customHeight="1">
      <c r="C860" s="63"/>
      <c r="F860" s="64"/>
      <c r="G860" s="64"/>
      <c r="J860" s="65"/>
    </row>
    <row r="861" ht="15.75" customHeight="1">
      <c r="C861" s="63"/>
      <c r="F861" s="64"/>
      <c r="G861" s="64"/>
      <c r="J861" s="65"/>
    </row>
    <row r="862" ht="15.75" customHeight="1">
      <c r="C862" s="63"/>
      <c r="F862" s="64"/>
      <c r="G862" s="64"/>
      <c r="J862" s="65"/>
    </row>
    <row r="863" ht="15.75" customHeight="1">
      <c r="C863" s="63"/>
      <c r="F863" s="64"/>
      <c r="G863" s="64"/>
      <c r="J863" s="65"/>
    </row>
    <row r="864" ht="15.75" customHeight="1">
      <c r="C864" s="63"/>
      <c r="F864" s="64"/>
      <c r="G864" s="64"/>
      <c r="J864" s="65"/>
    </row>
    <row r="865" ht="15.75" customHeight="1">
      <c r="C865" s="63"/>
      <c r="F865" s="64"/>
      <c r="G865" s="64"/>
      <c r="J865" s="65"/>
    </row>
    <row r="866" ht="15.75" customHeight="1">
      <c r="C866" s="63"/>
      <c r="F866" s="64"/>
      <c r="G866" s="64"/>
      <c r="J866" s="65"/>
    </row>
    <row r="867" ht="15.75" customHeight="1">
      <c r="C867" s="63"/>
      <c r="F867" s="64"/>
      <c r="G867" s="64"/>
      <c r="J867" s="65"/>
    </row>
    <row r="868" ht="15.75" customHeight="1">
      <c r="C868" s="63"/>
      <c r="F868" s="64"/>
      <c r="G868" s="64"/>
      <c r="J868" s="65"/>
    </row>
    <row r="869" ht="15.75" customHeight="1">
      <c r="C869" s="63"/>
      <c r="F869" s="64"/>
      <c r="G869" s="64"/>
      <c r="J869" s="65"/>
    </row>
    <row r="870" ht="15.75" customHeight="1">
      <c r="C870" s="63"/>
      <c r="F870" s="64"/>
      <c r="G870" s="64"/>
      <c r="J870" s="65"/>
    </row>
    <row r="871" ht="15.75" customHeight="1">
      <c r="C871" s="63"/>
      <c r="F871" s="64"/>
      <c r="G871" s="64"/>
      <c r="J871" s="65"/>
    </row>
    <row r="872" ht="15.75" customHeight="1">
      <c r="C872" s="63"/>
      <c r="F872" s="64"/>
      <c r="G872" s="64"/>
      <c r="J872" s="65"/>
    </row>
    <row r="873" ht="15.75" customHeight="1">
      <c r="C873" s="63"/>
      <c r="F873" s="64"/>
      <c r="G873" s="64"/>
      <c r="J873" s="65"/>
    </row>
    <row r="874" ht="15.75" customHeight="1">
      <c r="C874" s="63"/>
      <c r="F874" s="64"/>
      <c r="G874" s="64"/>
      <c r="J874" s="65"/>
    </row>
    <row r="875" ht="15.75" customHeight="1">
      <c r="C875" s="63"/>
      <c r="F875" s="64"/>
      <c r="G875" s="64"/>
      <c r="J875" s="65"/>
    </row>
    <row r="876" ht="15.75" customHeight="1">
      <c r="C876" s="63"/>
      <c r="F876" s="64"/>
      <c r="G876" s="64"/>
      <c r="J876" s="65"/>
    </row>
    <row r="877" ht="15.75" customHeight="1">
      <c r="C877" s="63"/>
      <c r="F877" s="64"/>
      <c r="G877" s="64"/>
      <c r="J877" s="65"/>
    </row>
    <row r="878" ht="15.75" customHeight="1">
      <c r="C878" s="63"/>
      <c r="F878" s="64"/>
      <c r="G878" s="64"/>
      <c r="J878" s="65"/>
    </row>
    <row r="879" ht="15.75" customHeight="1">
      <c r="C879" s="63"/>
      <c r="F879" s="64"/>
      <c r="G879" s="64"/>
      <c r="J879" s="65"/>
    </row>
    <row r="880" ht="15.75" customHeight="1">
      <c r="C880" s="63"/>
      <c r="F880" s="64"/>
      <c r="G880" s="64"/>
      <c r="J880" s="65"/>
    </row>
    <row r="881" ht="15.75" customHeight="1">
      <c r="C881" s="63"/>
      <c r="F881" s="64"/>
      <c r="G881" s="64"/>
      <c r="J881" s="65"/>
    </row>
    <row r="882" ht="15.75" customHeight="1">
      <c r="C882" s="63"/>
      <c r="F882" s="64"/>
      <c r="G882" s="64"/>
      <c r="J882" s="65"/>
    </row>
    <row r="883" ht="15.75" customHeight="1">
      <c r="C883" s="63"/>
      <c r="F883" s="64"/>
      <c r="G883" s="64"/>
      <c r="J883" s="65"/>
    </row>
    <row r="884" ht="15.75" customHeight="1">
      <c r="C884" s="63"/>
      <c r="F884" s="64"/>
      <c r="G884" s="64"/>
      <c r="J884" s="65"/>
    </row>
    <row r="885" ht="15.75" customHeight="1">
      <c r="C885" s="63"/>
      <c r="F885" s="64"/>
      <c r="G885" s="64"/>
      <c r="J885" s="65"/>
    </row>
    <row r="886" ht="15.75" customHeight="1">
      <c r="C886" s="63"/>
      <c r="F886" s="64"/>
      <c r="G886" s="64"/>
      <c r="J886" s="65"/>
    </row>
    <row r="887" ht="15.75" customHeight="1">
      <c r="C887" s="63"/>
      <c r="F887" s="64"/>
      <c r="G887" s="64"/>
      <c r="J887" s="65"/>
    </row>
    <row r="888" ht="15.75" customHeight="1">
      <c r="C888" s="63"/>
      <c r="F888" s="64"/>
      <c r="G888" s="64"/>
      <c r="J888" s="65"/>
    </row>
    <row r="889" ht="15.75" customHeight="1">
      <c r="C889" s="63"/>
      <c r="F889" s="64"/>
      <c r="G889" s="64"/>
      <c r="J889" s="65"/>
    </row>
    <row r="890" ht="15.75" customHeight="1">
      <c r="C890" s="63"/>
      <c r="F890" s="64"/>
      <c r="G890" s="64"/>
      <c r="J890" s="65"/>
    </row>
    <row r="891" ht="15.75" customHeight="1">
      <c r="C891" s="63"/>
      <c r="F891" s="64"/>
      <c r="G891" s="64"/>
      <c r="J891" s="65"/>
    </row>
    <row r="892" ht="15.75" customHeight="1">
      <c r="C892" s="63"/>
      <c r="F892" s="64"/>
      <c r="G892" s="64"/>
      <c r="J892" s="65"/>
    </row>
    <row r="893" ht="15.75" customHeight="1">
      <c r="C893" s="63"/>
      <c r="F893" s="64"/>
      <c r="G893" s="64"/>
      <c r="J893" s="65"/>
    </row>
    <row r="894" ht="15.75" customHeight="1">
      <c r="C894" s="63"/>
      <c r="F894" s="64"/>
      <c r="G894" s="64"/>
      <c r="J894" s="65"/>
    </row>
    <row r="895" ht="15.75" customHeight="1">
      <c r="C895" s="63"/>
      <c r="F895" s="64"/>
      <c r="G895" s="64"/>
      <c r="J895" s="65"/>
    </row>
    <row r="896" ht="15.75" customHeight="1">
      <c r="C896" s="63"/>
      <c r="F896" s="64"/>
      <c r="G896" s="64"/>
      <c r="J896" s="65"/>
    </row>
    <row r="897" ht="15.75" customHeight="1">
      <c r="C897" s="63"/>
      <c r="F897" s="64"/>
      <c r="G897" s="64"/>
      <c r="J897" s="65"/>
    </row>
    <row r="898" ht="15.75" customHeight="1">
      <c r="C898" s="63"/>
      <c r="F898" s="64"/>
      <c r="G898" s="64"/>
      <c r="J898" s="65"/>
    </row>
    <row r="899" ht="15.75" customHeight="1">
      <c r="C899" s="63"/>
      <c r="F899" s="64"/>
      <c r="G899" s="64"/>
      <c r="J899" s="65"/>
    </row>
    <row r="900" ht="15.75" customHeight="1">
      <c r="C900" s="63"/>
      <c r="F900" s="64"/>
      <c r="G900" s="64"/>
      <c r="J900" s="65"/>
    </row>
    <row r="901" ht="15.75" customHeight="1">
      <c r="C901" s="63"/>
      <c r="F901" s="64"/>
      <c r="G901" s="64"/>
      <c r="J901" s="65"/>
    </row>
    <row r="902" ht="15.75" customHeight="1">
      <c r="C902" s="63"/>
      <c r="F902" s="64"/>
      <c r="G902" s="64"/>
      <c r="J902" s="65"/>
    </row>
    <row r="903" ht="15.75" customHeight="1">
      <c r="C903" s="63"/>
      <c r="F903" s="64"/>
      <c r="G903" s="64"/>
      <c r="J903" s="65"/>
    </row>
    <row r="904" ht="15.75" customHeight="1">
      <c r="C904" s="63"/>
      <c r="F904" s="64"/>
      <c r="G904" s="64"/>
      <c r="J904" s="65"/>
    </row>
    <row r="905" ht="15.75" customHeight="1">
      <c r="C905" s="63"/>
      <c r="F905" s="64"/>
      <c r="G905" s="64"/>
      <c r="J905" s="65"/>
    </row>
    <row r="906" ht="15.75" customHeight="1">
      <c r="C906" s="63"/>
      <c r="F906" s="64"/>
      <c r="G906" s="64"/>
      <c r="J906" s="65"/>
    </row>
    <row r="907" ht="15.75" customHeight="1">
      <c r="C907" s="63"/>
      <c r="F907" s="64"/>
      <c r="G907" s="64"/>
      <c r="J907" s="65"/>
    </row>
    <row r="908" ht="15.75" customHeight="1">
      <c r="C908" s="63"/>
      <c r="F908" s="64"/>
      <c r="G908" s="64"/>
      <c r="J908" s="65"/>
    </row>
    <row r="909" ht="15.75" customHeight="1">
      <c r="C909" s="63"/>
      <c r="F909" s="64"/>
      <c r="G909" s="64"/>
      <c r="J909" s="65"/>
    </row>
    <row r="910" ht="15.75" customHeight="1">
      <c r="C910" s="63"/>
      <c r="F910" s="64"/>
      <c r="G910" s="64"/>
      <c r="J910" s="65"/>
    </row>
    <row r="911" ht="15.75" customHeight="1">
      <c r="C911" s="63"/>
      <c r="F911" s="64"/>
      <c r="G911" s="64"/>
      <c r="J911" s="65"/>
    </row>
    <row r="912" ht="15.75" customHeight="1">
      <c r="C912" s="63"/>
      <c r="F912" s="64"/>
      <c r="G912" s="64"/>
      <c r="J912" s="65"/>
    </row>
    <row r="913" ht="15.75" customHeight="1">
      <c r="C913" s="63"/>
      <c r="F913" s="64"/>
      <c r="G913" s="64"/>
      <c r="J913" s="65"/>
    </row>
    <row r="914" ht="15.75" customHeight="1">
      <c r="C914" s="63"/>
      <c r="F914" s="64"/>
      <c r="G914" s="64"/>
      <c r="J914" s="65"/>
    </row>
    <row r="915" ht="15.75" customHeight="1">
      <c r="C915" s="63"/>
      <c r="F915" s="64"/>
      <c r="G915" s="64"/>
      <c r="J915" s="65"/>
    </row>
    <row r="916" ht="15.75" customHeight="1">
      <c r="C916" s="63"/>
      <c r="F916" s="64"/>
      <c r="G916" s="64"/>
      <c r="J916" s="65"/>
    </row>
    <row r="917" ht="15.75" customHeight="1">
      <c r="C917" s="63"/>
      <c r="F917" s="64"/>
      <c r="G917" s="64"/>
      <c r="J917" s="65"/>
    </row>
    <row r="918" ht="15.75" customHeight="1">
      <c r="C918" s="63"/>
      <c r="F918" s="64"/>
      <c r="G918" s="64"/>
      <c r="J918" s="65"/>
    </row>
    <row r="919" ht="15.75" customHeight="1">
      <c r="C919" s="63"/>
      <c r="F919" s="64"/>
      <c r="G919" s="64"/>
      <c r="J919" s="65"/>
    </row>
    <row r="920" ht="15.75" customHeight="1">
      <c r="C920" s="63"/>
      <c r="F920" s="64"/>
      <c r="G920" s="64"/>
      <c r="J920" s="65"/>
    </row>
    <row r="921" ht="15.75" customHeight="1">
      <c r="C921" s="63"/>
      <c r="F921" s="64"/>
      <c r="G921" s="64"/>
      <c r="J921" s="65"/>
    </row>
    <row r="922" ht="15.75" customHeight="1">
      <c r="C922" s="63"/>
      <c r="F922" s="64"/>
      <c r="G922" s="64"/>
      <c r="J922" s="65"/>
    </row>
    <row r="923" ht="15.75" customHeight="1">
      <c r="C923" s="63"/>
      <c r="F923" s="64"/>
      <c r="G923" s="64"/>
      <c r="J923" s="65"/>
    </row>
    <row r="924" ht="15.75" customHeight="1">
      <c r="C924" s="63"/>
      <c r="F924" s="64"/>
      <c r="G924" s="64"/>
      <c r="J924" s="65"/>
    </row>
    <row r="925" ht="15.75" customHeight="1">
      <c r="C925" s="63"/>
      <c r="F925" s="64"/>
      <c r="G925" s="64"/>
      <c r="J925" s="65"/>
    </row>
    <row r="926" ht="15.75" customHeight="1">
      <c r="C926" s="63"/>
      <c r="F926" s="64"/>
      <c r="G926" s="64"/>
      <c r="J926" s="65"/>
    </row>
    <row r="927" ht="15.75" customHeight="1">
      <c r="C927" s="63"/>
      <c r="F927" s="64"/>
      <c r="G927" s="64"/>
      <c r="J927" s="65"/>
    </row>
    <row r="928" ht="15.75" customHeight="1">
      <c r="C928" s="63"/>
      <c r="F928" s="64"/>
      <c r="G928" s="64"/>
      <c r="J928" s="65"/>
    </row>
    <row r="929" ht="15.75" customHeight="1">
      <c r="C929" s="63"/>
      <c r="F929" s="64"/>
      <c r="G929" s="64"/>
      <c r="J929" s="65"/>
    </row>
    <row r="930" ht="15.75" customHeight="1">
      <c r="C930" s="63"/>
      <c r="F930" s="64"/>
      <c r="G930" s="64"/>
      <c r="J930" s="65"/>
    </row>
    <row r="931" ht="15.75" customHeight="1">
      <c r="C931" s="63"/>
      <c r="F931" s="64"/>
      <c r="G931" s="64"/>
      <c r="J931" s="65"/>
    </row>
    <row r="932" ht="15.75" customHeight="1">
      <c r="C932" s="63"/>
      <c r="F932" s="64"/>
      <c r="G932" s="64"/>
      <c r="J932" s="65"/>
    </row>
    <row r="933" ht="15.75" customHeight="1">
      <c r="C933" s="63"/>
      <c r="F933" s="64"/>
      <c r="G933" s="64"/>
      <c r="J933" s="65"/>
    </row>
    <row r="934" ht="15.75" customHeight="1">
      <c r="C934" s="63"/>
      <c r="F934" s="64"/>
      <c r="G934" s="64"/>
      <c r="J934" s="65"/>
    </row>
    <row r="935" ht="15.75" customHeight="1">
      <c r="C935" s="63"/>
      <c r="F935" s="64"/>
      <c r="G935" s="64"/>
      <c r="J935" s="65"/>
    </row>
    <row r="936" ht="15.75" customHeight="1">
      <c r="C936" s="63"/>
      <c r="F936" s="64"/>
      <c r="G936" s="64"/>
      <c r="J936" s="65"/>
    </row>
    <row r="937" ht="15.75" customHeight="1">
      <c r="C937" s="63"/>
      <c r="F937" s="64"/>
      <c r="G937" s="64"/>
      <c r="J937" s="65"/>
    </row>
    <row r="938" ht="15.75" customHeight="1">
      <c r="C938" s="63"/>
      <c r="F938" s="64"/>
      <c r="G938" s="64"/>
      <c r="J938" s="65"/>
    </row>
    <row r="939" ht="15.75" customHeight="1">
      <c r="C939" s="63"/>
      <c r="F939" s="64"/>
      <c r="G939" s="64"/>
      <c r="J939" s="65"/>
    </row>
    <row r="940" ht="15.75" customHeight="1">
      <c r="C940" s="63"/>
      <c r="F940" s="64"/>
      <c r="G940" s="64"/>
      <c r="J940" s="65"/>
    </row>
    <row r="941" ht="15.75" customHeight="1">
      <c r="C941" s="63"/>
      <c r="F941" s="64"/>
      <c r="G941" s="64"/>
      <c r="J941" s="65"/>
    </row>
    <row r="942" ht="15.75" customHeight="1">
      <c r="C942" s="63"/>
      <c r="F942" s="64"/>
      <c r="G942" s="64"/>
      <c r="J942" s="65"/>
    </row>
    <row r="943" ht="15.75" customHeight="1">
      <c r="C943" s="63"/>
      <c r="F943" s="64"/>
      <c r="G943" s="64"/>
      <c r="J943" s="65"/>
    </row>
    <row r="944" ht="15.75" customHeight="1">
      <c r="C944" s="63"/>
      <c r="F944" s="64"/>
      <c r="G944" s="64"/>
      <c r="J944" s="65"/>
    </row>
    <row r="945" ht="15.75" customHeight="1">
      <c r="C945" s="63"/>
      <c r="F945" s="64"/>
      <c r="G945" s="64"/>
      <c r="J945" s="65"/>
    </row>
    <row r="946" ht="15.75" customHeight="1">
      <c r="C946" s="63"/>
      <c r="F946" s="64"/>
      <c r="G946" s="64"/>
      <c r="J946" s="65"/>
    </row>
    <row r="947" ht="15.75" customHeight="1">
      <c r="C947" s="63"/>
      <c r="F947" s="64"/>
      <c r="G947" s="64"/>
      <c r="J947" s="65"/>
    </row>
    <row r="948" ht="15.75" customHeight="1">
      <c r="C948" s="63"/>
      <c r="F948" s="64"/>
      <c r="G948" s="64"/>
      <c r="J948" s="65"/>
    </row>
    <row r="949" ht="15.75" customHeight="1">
      <c r="C949" s="63"/>
      <c r="F949" s="64"/>
      <c r="G949" s="64"/>
      <c r="J949" s="65"/>
    </row>
    <row r="950" ht="15.75" customHeight="1">
      <c r="C950" s="63"/>
      <c r="F950" s="64"/>
      <c r="G950" s="64"/>
      <c r="J950" s="65"/>
    </row>
    <row r="951" ht="15.75" customHeight="1">
      <c r="C951" s="63"/>
      <c r="F951" s="64"/>
      <c r="G951" s="64"/>
      <c r="J951" s="65"/>
    </row>
    <row r="952" ht="15.75" customHeight="1">
      <c r="C952" s="63"/>
      <c r="F952" s="64"/>
      <c r="G952" s="64"/>
      <c r="J952" s="65"/>
    </row>
    <row r="953" ht="15.75" customHeight="1">
      <c r="C953" s="63"/>
      <c r="F953" s="64"/>
      <c r="G953" s="64"/>
      <c r="J953" s="65"/>
    </row>
    <row r="954" ht="15.75" customHeight="1">
      <c r="C954" s="63"/>
      <c r="F954" s="64"/>
      <c r="G954" s="64"/>
      <c r="J954" s="65"/>
    </row>
    <row r="955" ht="15.75" customHeight="1">
      <c r="C955" s="63"/>
      <c r="F955" s="64"/>
      <c r="G955" s="64"/>
      <c r="J955" s="65"/>
    </row>
    <row r="956" ht="15.75" customHeight="1">
      <c r="C956" s="63"/>
      <c r="F956" s="64"/>
      <c r="G956" s="64"/>
      <c r="J956" s="65"/>
    </row>
    <row r="957" ht="15.75" customHeight="1">
      <c r="C957" s="63"/>
      <c r="F957" s="64"/>
      <c r="G957" s="64"/>
      <c r="J957" s="65"/>
    </row>
    <row r="958" ht="15.75" customHeight="1">
      <c r="C958" s="63"/>
      <c r="F958" s="64"/>
      <c r="G958" s="64"/>
      <c r="J958" s="65"/>
    </row>
    <row r="959" ht="15.75" customHeight="1">
      <c r="C959" s="63"/>
      <c r="F959" s="64"/>
      <c r="G959" s="64"/>
      <c r="J959" s="65"/>
    </row>
    <row r="960" ht="15.75" customHeight="1">
      <c r="C960" s="63"/>
      <c r="F960" s="64"/>
      <c r="G960" s="64"/>
      <c r="J960" s="65"/>
    </row>
    <row r="961" ht="15.75" customHeight="1">
      <c r="C961" s="63"/>
      <c r="F961" s="64"/>
      <c r="G961" s="64"/>
      <c r="J961" s="65"/>
    </row>
    <row r="962" ht="15.75" customHeight="1">
      <c r="C962" s="63"/>
      <c r="F962" s="64"/>
      <c r="G962" s="64"/>
      <c r="J962" s="65"/>
    </row>
    <row r="963" ht="15.75" customHeight="1">
      <c r="C963" s="63"/>
      <c r="F963" s="64"/>
      <c r="G963" s="64"/>
      <c r="J963" s="65"/>
    </row>
    <row r="964" ht="15.75" customHeight="1">
      <c r="C964" s="63"/>
      <c r="F964" s="64"/>
      <c r="G964" s="64"/>
      <c r="J964" s="65"/>
    </row>
    <row r="965" ht="15.75" customHeight="1">
      <c r="C965" s="63"/>
      <c r="F965" s="64"/>
      <c r="G965" s="64"/>
      <c r="J965" s="65"/>
    </row>
    <row r="966" ht="15.75" customHeight="1">
      <c r="C966" s="63"/>
      <c r="F966" s="64"/>
      <c r="G966" s="64"/>
      <c r="J966" s="65"/>
    </row>
    <row r="967" ht="15.75" customHeight="1">
      <c r="C967" s="63"/>
      <c r="F967" s="64"/>
      <c r="G967" s="64"/>
      <c r="J967" s="65"/>
    </row>
    <row r="968" ht="15.75" customHeight="1">
      <c r="C968" s="63"/>
      <c r="F968" s="64"/>
      <c r="G968" s="64"/>
      <c r="J968" s="65"/>
    </row>
    <row r="969" ht="15.75" customHeight="1">
      <c r="C969" s="63"/>
      <c r="F969" s="64"/>
      <c r="G969" s="64"/>
      <c r="J969" s="65"/>
    </row>
    <row r="970" ht="15.75" customHeight="1">
      <c r="C970" s="63"/>
      <c r="F970" s="64"/>
      <c r="G970" s="64"/>
      <c r="J970" s="65"/>
    </row>
    <row r="971" ht="15.75" customHeight="1">
      <c r="C971" s="63"/>
      <c r="F971" s="64"/>
      <c r="G971" s="64"/>
      <c r="J971" s="65"/>
    </row>
    <row r="972" ht="15.75" customHeight="1">
      <c r="C972" s="63"/>
      <c r="F972" s="64"/>
      <c r="G972" s="64"/>
      <c r="J972" s="65"/>
    </row>
    <row r="973" ht="15.75" customHeight="1">
      <c r="C973" s="63"/>
      <c r="F973" s="64"/>
      <c r="G973" s="64"/>
      <c r="J973" s="65"/>
    </row>
    <row r="974" ht="15.75" customHeight="1">
      <c r="C974" s="63"/>
      <c r="F974" s="64"/>
      <c r="G974" s="64"/>
      <c r="J974" s="65"/>
    </row>
    <row r="975" ht="15.75" customHeight="1">
      <c r="C975" s="63"/>
      <c r="F975" s="64"/>
      <c r="G975" s="64"/>
      <c r="J975" s="65"/>
    </row>
    <row r="976" ht="15.75" customHeight="1">
      <c r="C976" s="63"/>
      <c r="F976" s="64"/>
      <c r="G976" s="64"/>
      <c r="J976" s="65"/>
    </row>
    <row r="977" ht="15.75" customHeight="1">
      <c r="C977" s="63"/>
      <c r="F977" s="64"/>
      <c r="G977" s="64"/>
      <c r="J977" s="65"/>
    </row>
    <row r="978" ht="15.75" customHeight="1">
      <c r="C978" s="63"/>
      <c r="F978" s="64"/>
      <c r="G978" s="64"/>
      <c r="J978" s="65"/>
    </row>
    <row r="979" ht="15.75" customHeight="1">
      <c r="C979" s="63"/>
      <c r="F979" s="64"/>
      <c r="G979" s="64"/>
      <c r="J979" s="65"/>
    </row>
    <row r="980" ht="15.75" customHeight="1">
      <c r="C980" s="63"/>
      <c r="F980" s="64"/>
      <c r="G980" s="64"/>
      <c r="J980" s="65"/>
    </row>
    <row r="981" ht="15.75" customHeight="1">
      <c r="F981" s="64"/>
      <c r="G981" s="64"/>
      <c r="J981" s="65"/>
    </row>
    <row r="982" ht="15.75" customHeight="1">
      <c r="F982" s="64"/>
      <c r="G982" s="64"/>
      <c r="J982" s="65"/>
    </row>
    <row r="983" ht="15.75" customHeight="1">
      <c r="F983" s="64"/>
      <c r="G983" s="64"/>
      <c r="J983" s="65"/>
    </row>
    <row r="984" ht="15.75" customHeight="1">
      <c r="F984" s="64"/>
      <c r="G984" s="64"/>
      <c r="J984" s="65"/>
    </row>
    <row r="985" ht="15.75" customHeight="1">
      <c r="F985" s="64"/>
      <c r="G985" s="64"/>
      <c r="J985" s="65"/>
    </row>
    <row r="986" ht="15.75" customHeight="1">
      <c r="F986" s="64"/>
      <c r="G986" s="64"/>
      <c r="J986" s="65"/>
    </row>
    <row r="987" ht="15.75" customHeight="1">
      <c r="F987" s="64"/>
      <c r="G987" s="64"/>
      <c r="J987" s="65"/>
    </row>
    <row r="988" ht="15.75" customHeight="1">
      <c r="F988" s="64"/>
      <c r="G988" s="64"/>
      <c r="J988" s="65"/>
    </row>
    <row r="989" ht="15.75" customHeight="1">
      <c r="F989" s="64"/>
      <c r="G989" s="64"/>
      <c r="J989" s="65"/>
    </row>
    <row r="990" ht="15.75" customHeight="1">
      <c r="F990" s="64"/>
      <c r="G990" s="64"/>
      <c r="J990" s="65"/>
    </row>
    <row r="991" ht="15.75" customHeight="1">
      <c r="F991" s="64"/>
      <c r="G991" s="64"/>
      <c r="J991" s="65"/>
    </row>
    <row r="992" ht="15.75" customHeight="1">
      <c r="F992" s="64"/>
      <c r="G992" s="64"/>
      <c r="J992" s="65"/>
    </row>
    <row r="993" ht="15.75" customHeight="1">
      <c r="F993" s="64"/>
      <c r="G993" s="64"/>
      <c r="J993" s="65"/>
    </row>
    <row r="994" ht="15.75" customHeight="1">
      <c r="F994" s="64"/>
      <c r="G994" s="64"/>
      <c r="J994" s="65"/>
    </row>
    <row r="995" ht="15.75" customHeight="1">
      <c r="F995" s="64"/>
      <c r="G995" s="64"/>
      <c r="J995" s="65"/>
    </row>
    <row r="996" ht="15.75" customHeight="1">
      <c r="F996" s="64"/>
      <c r="G996" s="64"/>
      <c r="J996" s="65"/>
    </row>
    <row r="997" ht="15.75" customHeight="1">
      <c r="F997" s="64"/>
      <c r="G997" s="64"/>
      <c r="J997" s="65"/>
    </row>
    <row r="998" ht="15.75" customHeight="1">
      <c r="F998" s="64"/>
      <c r="G998" s="64"/>
      <c r="J998" s="65"/>
    </row>
    <row r="999" ht="15.75" customHeight="1">
      <c r="F999" s="64"/>
      <c r="G999" s="64"/>
      <c r="J999" s="65"/>
    </row>
    <row r="1000" ht="15.75" customHeight="1">
      <c r="F1000" s="64"/>
      <c r="G1000" s="64"/>
      <c r="J1000" s="65"/>
    </row>
  </sheetData>
  <mergeCells count="16">
    <mergeCell ref="R2:R4"/>
    <mergeCell ref="S2:S4"/>
    <mergeCell ref="T2:T4"/>
    <mergeCell ref="U2:U4"/>
    <mergeCell ref="V2:V4"/>
    <mergeCell ref="W2:W4"/>
    <mergeCell ref="X2:X4"/>
    <mergeCell ref="Y2:Y4"/>
    <mergeCell ref="M1:Y1"/>
    <mergeCell ref="L2:L9"/>
    <mergeCell ref="M2:M4"/>
    <mergeCell ref="N2:N4"/>
    <mergeCell ref="O2:O4"/>
    <mergeCell ref="P2:P4"/>
    <mergeCell ref="Q2:Q4"/>
    <mergeCell ref="M10:Y10"/>
  </mergeCells>
  <conditionalFormatting sqref="J2:J45">
    <cfRule type="cellIs" dxfId="0" priority="1" operator="equal">
      <formula>"Retrasado"</formula>
    </cfRule>
  </conditionalFormatting>
  <conditionalFormatting sqref="J2:J45">
    <cfRule type="cellIs" dxfId="1" priority="2" operator="equal">
      <formula>"Proceso"</formula>
    </cfRule>
  </conditionalFormatting>
  <conditionalFormatting sqref="J2:J45">
    <cfRule type="cellIs" dxfId="2" priority="3" operator="equal">
      <formula>"Terminado"</formula>
    </cfRule>
  </conditionalFormatting>
  <conditionalFormatting sqref="J3:J9">
    <cfRule type="cellIs" dxfId="0" priority="4" operator="equal">
      <formula>"Retrasado"</formula>
    </cfRule>
  </conditionalFormatting>
  <conditionalFormatting sqref="J3:J9">
    <cfRule type="cellIs" dxfId="1" priority="5" operator="equal">
      <formula>"Proceso"</formula>
    </cfRule>
  </conditionalFormatting>
  <conditionalFormatting sqref="J3:J9">
    <cfRule type="cellIs" dxfId="2" priority="6" operator="equal">
      <formula>"Terminado"</formula>
    </cfRule>
  </conditionalFormatting>
  <conditionalFormatting sqref="J10:J45">
    <cfRule type="cellIs" dxfId="0" priority="7" operator="equal">
      <formula>"Retrasado"</formula>
    </cfRule>
  </conditionalFormatting>
  <conditionalFormatting sqref="J10:J45">
    <cfRule type="cellIs" dxfId="1" priority="8" operator="equal">
      <formula>"Proceso"</formula>
    </cfRule>
  </conditionalFormatting>
  <conditionalFormatting sqref="J10:J45">
    <cfRule type="cellIs" dxfId="2" priority="9" operator="equal">
      <formula>"Terminado"</formula>
    </cfRule>
  </conditionalFormatting>
  <dataValidations>
    <dataValidation type="list" allowBlank="1" showErrorMessage="1" sqref="C2:C45">
      <formula1>"Análisis,Diseño,Ejecución,Pruebas,Liberación"</formula1>
    </dataValidation>
    <dataValidation type="custom" allowBlank="1" showInputMessage="1" showErrorMessage="1" prompt="Fecha Final Plan - Debe ser un día de Lunes a Viernes" sqref="G2:G88">
      <formula1>AND(WEEKDAY(G2,11)&lt;&gt;6,WEEKDAY(G2,11)&lt;&gt;7,F2&lt;=G2)</formula1>
    </dataValidation>
    <dataValidation type="list" allowBlank="1" showErrorMessage="1" sqref="C1 C46:C980">
      <formula1>#REF!</formula1>
    </dataValidation>
    <dataValidation type="custom" allowBlank="1" showInputMessage="1" showErrorMessage="1" prompt="Fecha Inicio Plan - Debe ser un día de Lunes a Viernes" sqref="F2:F44">
      <formula1>AND(WEEKDAY(F2,11)&lt;&gt;6,WEEKDAY(F2,11)&lt;&gt;7)</formula1>
    </dataValidation>
    <dataValidation type="custom" allowBlank="1" showInputMessage="1" showErrorMessage="1" prompt="% AVANCE REAL - El Porcentaje Real debe ser menor o igual al Porcentaje Planeado" sqref="I2 I4:I7 I9:I45">
      <formula1>(I2&lt;=H2)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70C0"/>
    <pageSetUpPr/>
  </sheetPr>
  <sheetViews>
    <sheetView workbookViewId="0"/>
  </sheetViews>
  <sheetFormatPr customHeight="1" defaultColWidth="10.1" defaultRowHeight="15.0"/>
  <cols>
    <col customWidth="1" min="1" max="1" width="10.8"/>
    <col customWidth="1" min="2" max="2" width="13.3"/>
    <col customWidth="1" min="3" max="3" width="13.6"/>
    <col customWidth="1" min="4" max="4" width="11.5"/>
    <col customWidth="1" min="5" max="5" width="23.2"/>
    <col customWidth="1" min="6" max="6" width="15.7"/>
    <col customWidth="1" min="7" max="7" width="12.2"/>
    <col customWidth="1" min="8" max="26" width="7.5"/>
  </cols>
  <sheetData>
    <row r="1">
      <c r="A1" s="66" t="s">
        <v>80</v>
      </c>
      <c r="B1" s="67" t="s">
        <v>5</v>
      </c>
      <c r="C1" s="68" t="s">
        <v>6</v>
      </c>
      <c r="D1" s="68" t="s">
        <v>81</v>
      </c>
      <c r="E1" s="69" t="s">
        <v>82</v>
      </c>
      <c r="F1" s="68" t="s">
        <v>83</v>
      </c>
      <c r="G1" s="68" t="s">
        <v>84</v>
      </c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>
      <c r="A2" s="71">
        <v>45887.0</v>
      </c>
      <c r="B2" s="72">
        <f>MIN(Principal!F:F)</f>
        <v>45806</v>
      </c>
      <c r="C2" s="73">
        <f>MAX(Principal!G:G)</f>
        <v>45887</v>
      </c>
      <c r="D2" s="74">
        <f>_xlfn.NETWORKDAYS.INTL(MIN(Principal!F:F),MAX(Principal!G:G))</f>
        <v>58</v>
      </c>
      <c r="E2" s="75">
        <f>(SUM(Principal!I:I)/100%)/SUM(Principal!H:H)</f>
        <v>1</v>
      </c>
      <c r="F2" s="76">
        <f>_xlfn.NETWORKDAYS.INTL(MIN(Principal!F:F),A2)</f>
        <v>58</v>
      </c>
      <c r="G2" s="77">
        <f>_xlfn.NETWORKDAYS.INTL(A2,MAX(Principal!G:G))</f>
        <v>1</v>
      </c>
    </row>
    <row r="3">
      <c r="A3" s="78"/>
      <c r="B3" s="79"/>
      <c r="C3" s="79"/>
      <c r="D3" s="62"/>
    </row>
    <row r="4">
      <c r="A4" s="80"/>
      <c r="D4" s="62"/>
    </row>
    <row r="5">
      <c r="A5" s="80"/>
      <c r="D5" s="62"/>
    </row>
    <row r="6">
      <c r="A6" s="80"/>
      <c r="D6" s="62"/>
    </row>
    <row r="7">
      <c r="A7" s="80"/>
      <c r="D7" s="62"/>
    </row>
    <row r="8">
      <c r="A8" s="80"/>
      <c r="D8" s="62"/>
    </row>
    <row r="9">
      <c r="A9" s="80"/>
      <c r="D9" s="62"/>
    </row>
    <row r="10">
      <c r="A10" s="80"/>
      <c r="D10" s="62"/>
    </row>
    <row r="11">
      <c r="A11" s="80"/>
      <c r="D11" s="62"/>
    </row>
    <row r="12">
      <c r="A12" s="80"/>
      <c r="D12" s="62"/>
    </row>
    <row r="13">
      <c r="A13" s="80"/>
      <c r="D13" s="62"/>
    </row>
    <row r="14">
      <c r="A14" s="80"/>
      <c r="D14" s="62"/>
    </row>
    <row r="15">
      <c r="A15" s="80"/>
      <c r="D15" s="62"/>
    </row>
    <row r="16">
      <c r="A16" s="80"/>
      <c r="D16" s="62"/>
    </row>
    <row r="17">
      <c r="A17" s="80"/>
      <c r="D17" s="62"/>
    </row>
    <row r="18">
      <c r="A18" s="80"/>
      <c r="D18" s="62"/>
    </row>
    <row r="19">
      <c r="A19" s="80"/>
      <c r="D19" s="62"/>
    </row>
    <row r="20">
      <c r="A20" s="80"/>
      <c r="D20" s="62"/>
    </row>
    <row r="21" ht="15.75" customHeight="1">
      <c r="A21" s="80"/>
      <c r="D21" s="62"/>
    </row>
    <row r="22" ht="15.75" customHeight="1">
      <c r="A22" s="80"/>
      <c r="D22" s="62"/>
    </row>
    <row r="23" ht="15.75" customHeight="1">
      <c r="A23" s="80"/>
      <c r="D23" s="62"/>
    </row>
    <row r="24" ht="15.75" customHeight="1">
      <c r="A24" s="80"/>
      <c r="D24" s="62"/>
    </row>
    <row r="25" ht="15.75" customHeight="1">
      <c r="A25" s="80"/>
      <c r="D25" s="62"/>
    </row>
    <row r="26" ht="15.75" customHeight="1">
      <c r="A26" s="80"/>
      <c r="D26" s="62"/>
    </row>
    <row r="27" ht="15.75" customHeight="1">
      <c r="A27" s="80"/>
      <c r="D27" s="62"/>
    </row>
    <row r="28" ht="15.75" customHeight="1">
      <c r="A28" s="80"/>
      <c r="D28" s="62"/>
    </row>
    <row r="29" ht="15.75" customHeight="1">
      <c r="A29" s="80"/>
      <c r="D29" s="62"/>
    </row>
    <row r="30" ht="15.75" customHeight="1">
      <c r="A30" s="80"/>
      <c r="D30" s="62"/>
    </row>
    <row r="31" ht="15.75" customHeight="1">
      <c r="A31" s="80"/>
      <c r="D31" s="62"/>
    </row>
    <row r="32" ht="15.75" customHeight="1">
      <c r="A32" s="80"/>
      <c r="D32" s="62"/>
    </row>
    <row r="33" ht="15.75" customHeight="1">
      <c r="A33" s="80"/>
      <c r="D33" s="62"/>
    </row>
    <row r="34" ht="15.75" customHeight="1">
      <c r="A34" s="80"/>
      <c r="D34" s="62"/>
    </row>
    <row r="35" ht="15.75" customHeight="1">
      <c r="A35" s="80"/>
      <c r="D35" s="62"/>
    </row>
    <row r="36" ht="15.75" customHeight="1">
      <c r="A36" s="80"/>
      <c r="D36" s="62"/>
    </row>
    <row r="37" ht="15.75" customHeight="1">
      <c r="A37" s="80"/>
      <c r="D37" s="62"/>
    </row>
    <row r="38" ht="15.75" customHeight="1">
      <c r="A38" s="80"/>
      <c r="D38" s="62"/>
    </row>
    <row r="39" ht="15.75" customHeight="1">
      <c r="A39" s="80"/>
      <c r="D39" s="62"/>
    </row>
    <row r="40" ht="15.75" customHeight="1">
      <c r="A40" s="80"/>
      <c r="D40" s="62"/>
    </row>
    <row r="41" ht="15.75" customHeight="1">
      <c r="A41" s="80"/>
      <c r="D41" s="62"/>
    </row>
    <row r="42" ht="15.75" customHeight="1">
      <c r="A42" s="80"/>
      <c r="D42" s="62"/>
    </row>
    <row r="43" ht="15.75" customHeight="1">
      <c r="A43" s="80"/>
      <c r="D43" s="62"/>
    </row>
    <row r="44" ht="15.75" customHeight="1">
      <c r="A44" s="80"/>
      <c r="D44" s="62"/>
    </row>
    <row r="45" ht="15.75" customHeight="1">
      <c r="A45" s="80"/>
      <c r="D45" s="62"/>
    </row>
    <row r="46" ht="15.75" customHeight="1">
      <c r="A46" s="80"/>
      <c r="D46" s="62"/>
    </row>
    <row r="47" ht="15.75" customHeight="1">
      <c r="A47" s="80"/>
      <c r="D47" s="62"/>
    </row>
    <row r="48" ht="15.75" customHeight="1">
      <c r="A48" s="80"/>
      <c r="D48" s="62"/>
    </row>
    <row r="49" ht="15.75" customHeight="1">
      <c r="A49" s="80"/>
      <c r="D49" s="62"/>
    </row>
    <row r="50" ht="15.75" customHeight="1">
      <c r="A50" s="80"/>
      <c r="D50" s="62"/>
    </row>
    <row r="51" ht="15.75" customHeight="1">
      <c r="A51" s="80"/>
      <c r="D51" s="62"/>
    </row>
    <row r="52" ht="15.75" customHeight="1">
      <c r="A52" s="80"/>
      <c r="D52" s="62"/>
    </row>
    <row r="53" ht="15.75" customHeight="1">
      <c r="A53" s="80"/>
      <c r="D53" s="62"/>
    </row>
    <row r="54" ht="15.75" customHeight="1">
      <c r="A54" s="80"/>
      <c r="D54" s="62"/>
    </row>
    <row r="55" ht="15.75" customHeight="1">
      <c r="A55" s="80"/>
      <c r="D55" s="62"/>
    </row>
    <row r="56" ht="15.75" customHeight="1">
      <c r="A56" s="80"/>
      <c r="D56" s="62"/>
    </row>
    <row r="57" ht="15.75" customHeight="1">
      <c r="A57" s="80"/>
      <c r="D57" s="62"/>
    </row>
    <row r="58" ht="15.75" customHeight="1">
      <c r="A58" s="80"/>
      <c r="D58" s="62"/>
    </row>
    <row r="59" ht="15.75" customHeight="1">
      <c r="A59" s="80"/>
      <c r="D59" s="62"/>
    </row>
    <row r="60" ht="15.75" customHeight="1">
      <c r="A60" s="80"/>
      <c r="D60" s="62"/>
    </row>
    <row r="61" ht="15.75" customHeight="1">
      <c r="A61" s="80"/>
      <c r="D61" s="62"/>
    </row>
    <row r="62" ht="15.75" customHeight="1">
      <c r="A62" s="80"/>
      <c r="D62" s="62"/>
    </row>
    <row r="63" ht="15.75" customHeight="1">
      <c r="A63" s="80"/>
      <c r="D63" s="62"/>
    </row>
    <row r="64" ht="15.75" customHeight="1">
      <c r="A64" s="80"/>
      <c r="D64" s="62"/>
    </row>
    <row r="65" ht="15.75" customHeight="1">
      <c r="A65" s="80"/>
      <c r="D65" s="62"/>
    </row>
    <row r="66" ht="15.75" customHeight="1">
      <c r="A66" s="80"/>
      <c r="D66" s="62"/>
    </row>
    <row r="67" ht="15.75" customHeight="1">
      <c r="A67" s="80"/>
      <c r="D67" s="62"/>
    </row>
    <row r="68" ht="15.75" customHeight="1">
      <c r="A68" s="80"/>
      <c r="D68" s="62"/>
    </row>
    <row r="69" ht="15.75" customHeight="1">
      <c r="A69" s="80"/>
      <c r="D69" s="62"/>
    </row>
    <row r="70" ht="15.75" customHeight="1">
      <c r="A70" s="80"/>
      <c r="D70" s="62"/>
    </row>
    <row r="71" ht="15.75" customHeight="1">
      <c r="A71" s="80"/>
      <c r="D71" s="62"/>
    </row>
    <row r="72" ht="15.75" customHeight="1">
      <c r="A72" s="80"/>
      <c r="D72" s="62"/>
    </row>
    <row r="73" ht="15.75" customHeight="1">
      <c r="A73" s="80"/>
      <c r="D73" s="62"/>
    </row>
    <row r="74" ht="15.75" customHeight="1">
      <c r="A74" s="80"/>
      <c r="D74" s="62"/>
    </row>
    <row r="75" ht="15.75" customHeight="1">
      <c r="A75" s="80"/>
      <c r="D75" s="62"/>
    </row>
    <row r="76" ht="15.75" customHeight="1">
      <c r="A76" s="80"/>
      <c r="D76" s="62"/>
    </row>
    <row r="77" ht="15.75" customHeight="1">
      <c r="A77" s="80"/>
      <c r="D77" s="62"/>
    </row>
    <row r="78" ht="15.75" customHeight="1">
      <c r="A78" s="80"/>
      <c r="D78" s="62"/>
    </row>
    <row r="79" ht="15.75" customHeight="1">
      <c r="A79" s="80"/>
      <c r="D79" s="62"/>
    </row>
    <row r="80" ht="15.75" customHeight="1">
      <c r="A80" s="80"/>
      <c r="D80" s="62"/>
    </row>
    <row r="81" ht="15.75" customHeight="1">
      <c r="A81" s="80"/>
      <c r="D81" s="62"/>
    </row>
    <row r="82" ht="15.75" customHeight="1">
      <c r="A82" s="80"/>
      <c r="D82" s="62"/>
    </row>
    <row r="83" ht="15.75" customHeight="1">
      <c r="A83" s="80"/>
      <c r="D83" s="62"/>
    </row>
    <row r="84" ht="15.75" customHeight="1">
      <c r="A84" s="80"/>
      <c r="D84" s="62"/>
    </row>
    <row r="85" ht="15.75" customHeight="1">
      <c r="A85" s="80"/>
      <c r="D85" s="62"/>
    </row>
    <row r="86" ht="15.75" customHeight="1">
      <c r="A86" s="80"/>
      <c r="D86" s="62"/>
    </row>
    <row r="87" ht="15.75" customHeight="1">
      <c r="A87" s="80"/>
      <c r="D87" s="62"/>
    </row>
    <row r="88" ht="15.75" customHeight="1">
      <c r="A88" s="80"/>
      <c r="D88" s="62"/>
    </row>
    <row r="89" ht="15.75" customHeight="1">
      <c r="A89" s="80"/>
      <c r="D89" s="62"/>
    </row>
    <row r="90" ht="15.75" customHeight="1">
      <c r="A90" s="80"/>
      <c r="D90" s="62"/>
    </row>
    <row r="91" ht="15.75" customHeight="1">
      <c r="A91" s="80"/>
      <c r="D91" s="62"/>
    </row>
    <row r="92" ht="15.75" customHeight="1">
      <c r="A92" s="80"/>
      <c r="D92" s="62"/>
    </row>
    <row r="93" ht="15.75" customHeight="1">
      <c r="A93" s="80"/>
      <c r="D93" s="62"/>
    </row>
    <row r="94" ht="15.75" customHeight="1">
      <c r="A94" s="80"/>
      <c r="D94" s="62"/>
    </row>
    <row r="95" ht="15.75" customHeight="1">
      <c r="A95" s="80"/>
      <c r="D95" s="62"/>
    </row>
    <row r="96" ht="15.75" customHeight="1">
      <c r="A96" s="80"/>
      <c r="D96" s="62"/>
    </row>
    <row r="97" ht="15.75" customHeight="1">
      <c r="A97" s="80"/>
      <c r="D97" s="62"/>
    </row>
    <row r="98" ht="15.75" customHeight="1">
      <c r="A98" s="80"/>
      <c r="D98" s="62"/>
    </row>
    <row r="99" ht="15.75" customHeight="1">
      <c r="A99" s="80"/>
      <c r="D99" s="62"/>
    </row>
    <row r="100" ht="15.75" customHeight="1">
      <c r="A100" s="80"/>
      <c r="D100" s="62"/>
    </row>
    <row r="101" ht="15.75" customHeight="1">
      <c r="A101" s="80"/>
      <c r="D101" s="62"/>
    </row>
    <row r="102" ht="15.75" customHeight="1">
      <c r="A102" s="80"/>
      <c r="D102" s="62"/>
    </row>
    <row r="103" ht="15.75" customHeight="1">
      <c r="A103" s="80"/>
      <c r="D103" s="62"/>
    </row>
    <row r="104" ht="15.75" customHeight="1">
      <c r="A104" s="80"/>
      <c r="D104" s="62"/>
    </row>
    <row r="105" ht="15.75" customHeight="1">
      <c r="A105" s="80"/>
      <c r="D105" s="62"/>
    </row>
    <row r="106" ht="15.75" customHeight="1">
      <c r="A106" s="80"/>
      <c r="D106" s="62"/>
    </row>
    <row r="107" ht="15.75" customHeight="1">
      <c r="A107" s="80"/>
      <c r="D107" s="62"/>
    </row>
    <row r="108" ht="15.75" customHeight="1">
      <c r="A108" s="80"/>
      <c r="D108" s="62"/>
    </row>
    <row r="109" ht="15.75" customHeight="1">
      <c r="A109" s="80"/>
      <c r="D109" s="62"/>
    </row>
    <row r="110" ht="15.75" customHeight="1">
      <c r="A110" s="80"/>
      <c r="D110" s="62"/>
    </row>
    <row r="111" ht="15.75" customHeight="1">
      <c r="A111" s="80"/>
      <c r="D111" s="62"/>
    </row>
    <row r="112" ht="15.75" customHeight="1">
      <c r="A112" s="80"/>
      <c r="D112" s="62"/>
    </row>
    <row r="113" ht="15.75" customHeight="1">
      <c r="A113" s="80"/>
      <c r="D113" s="62"/>
    </row>
    <row r="114" ht="15.75" customHeight="1">
      <c r="A114" s="80"/>
      <c r="D114" s="62"/>
    </row>
    <row r="115" ht="15.75" customHeight="1">
      <c r="A115" s="80"/>
      <c r="D115" s="62"/>
    </row>
    <row r="116" ht="15.75" customHeight="1">
      <c r="A116" s="80"/>
      <c r="D116" s="62"/>
    </row>
    <row r="117" ht="15.75" customHeight="1">
      <c r="A117" s="80"/>
      <c r="D117" s="62"/>
    </row>
    <row r="118" ht="15.75" customHeight="1">
      <c r="A118" s="80"/>
      <c r="D118" s="62"/>
    </row>
    <row r="119" ht="15.75" customHeight="1">
      <c r="A119" s="80"/>
      <c r="D119" s="62"/>
    </row>
    <row r="120" ht="15.75" customHeight="1">
      <c r="A120" s="80"/>
      <c r="D120" s="62"/>
    </row>
    <row r="121" ht="15.75" customHeight="1">
      <c r="A121" s="80"/>
      <c r="D121" s="62"/>
    </row>
    <row r="122" ht="15.75" customHeight="1">
      <c r="A122" s="80"/>
      <c r="D122" s="62"/>
    </row>
    <row r="123" ht="15.75" customHeight="1">
      <c r="A123" s="80"/>
      <c r="D123" s="62"/>
    </row>
    <row r="124" ht="15.75" customHeight="1">
      <c r="A124" s="80"/>
      <c r="D124" s="62"/>
    </row>
    <row r="125" ht="15.75" customHeight="1">
      <c r="A125" s="80"/>
      <c r="D125" s="62"/>
    </row>
    <row r="126" ht="15.75" customHeight="1">
      <c r="A126" s="80"/>
      <c r="D126" s="62"/>
    </row>
    <row r="127" ht="15.75" customHeight="1">
      <c r="A127" s="80"/>
      <c r="D127" s="62"/>
    </row>
    <row r="128" ht="15.75" customHeight="1">
      <c r="A128" s="80"/>
      <c r="D128" s="62"/>
    </row>
    <row r="129" ht="15.75" customHeight="1">
      <c r="A129" s="80"/>
      <c r="D129" s="62"/>
    </row>
    <row r="130" ht="15.75" customHeight="1">
      <c r="A130" s="80"/>
      <c r="D130" s="62"/>
    </row>
    <row r="131" ht="15.75" customHeight="1">
      <c r="A131" s="80"/>
      <c r="D131" s="62"/>
    </row>
    <row r="132" ht="15.75" customHeight="1">
      <c r="A132" s="80"/>
      <c r="D132" s="62"/>
    </row>
    <row r="133" ht="15.75" customHeight="1">
      <c r="A133" s="80"/>
      <c r="D133" s="62"/>
    </row>
    <row r="134" ht="15.75" customHeight="1">
      <c r="A134" s="80"/>
      <c r="D134" s="62"/>
    </row>
    <row r="135" ht="15.75" customHeight="1">
      <c r="A135" s="80"/>
      <c r="D135" s="62"/>
    </row>
    <row r="136" ht="15.75" customHeight="1">
      <c r="A136" s="80"/>
      <c r="D136" s="62"/>
    </row>
    <row r="137" ht="15.75" customHeight="1">
      <c r="A137" s="80"/>
      <c r="D137" s="62"/>
    </row>
    <row r="138" ht="15.75" customHeight="1">
      <c r="A138" s="80"/>
      <c r="D138" s="62"/>
    </row>
    <row r="139" ht="15.75" customHeight="1">
      <c r="A139" s="80"/>
      <c r="D139" s="62"/>
    </row>
    <row r="140" ht="15.75" customHeight="1">
      <c r="A140" s="80"/>
      <c r="D140" s="62"/>
    </row>
    <row r="141" ht="15.75" customHeight="1">
      <c r="A141" s="80"/>
      <c r="D141" s="62"/>
    </row>
    <row r="142" ht="15.75" customHeight="1">
      <c r="A142" s="80"/>
      <c r="D142" s="62"/>
    </row>
    <row r="143" ht="15.75" customHeight="1">
      <c r="A143" s="80"/>
      <c r="D143" s="62"/>
    </row>
    <row r="144" ht="15.75" customHeight="1">
      <c r="A144" s="80"/>
      <c r="D144" s="62"/>
    </row>
    <row r="145" ht="15.75" customHeight="1">
      <c r="A145" s="80"/>
      <c r="D145" s="62"/>
    </row>
    <row r="146" ht="15.75" customHeight="1">
      <c r="A146" s="80"/>
      <c r="D146" s="62"/>
    </row>
    <row r="147" ht="15.75" customHeight="1">
      <c r="A147" s="80"/>
      <c r="D147" s="62"/>
    </row>
    <row r="148" ht="15.75" customHeight="1">
      <c r="A148" s="80"/>
      <c r="D148" s="62"/>
    </row>
    <row r="149" ht="15.75" customHeight="1">
      <c r="A149" s="80"/>
      <c r="D149" s="62"/>
    </row>
    <row r="150" ht="15.75" customHeight="1">
      <c r="A150" s="80"/>
      <c r="D150" s="62"/>
    </row>
    <row r="151" ht="15.75" customHeight="1">
      <c r="A151" s="80"/>
      <c r="D151" s="62"/>
    </row>
    <row r="152" ht="15.75" customHeight="1">
      <c r="A152" s="80"/>
      <c r="D152" s="62"/>
    </row>
    <row r="153" ht="15.75" customHeight="1">
      <c r="A153" s="80"/>
      <c r="D153" s="62"/>
    </row>
    <row r="154" ht="15.75" customHeight="1">
      <c r="A154" s="80"/>
      <c r="D154" s="62"/>
    </row>
    <row r="155" ht="15.75" customHeight="1">
      <c r="A155" s="80"/>
      <c r="D155" s="62"/>
    </row>
    <row r="156" ht="15.75" customHeight="1">
      <c r="A156" s="80"/>
      <c r="D156" s="62"/>
    </row>
    <row r="157" ht="15.75" customHeight="1">
      <c r="A157" s="80"/>
      <c r="D157" s="62"/>
    </row>
    <row r="158" ht="15.75" customHeight="1">
      <c r="A158" s="80"/>
      <c r="D158" s="62"/>
    </row>
    <row r="159" ht="15.75" customHeight="1">
      <c r="A159" s="80"/>
      <c r="D159" s="62"/>
    </row>
    <row r="160" ht="15.75" customHeight="1">
      <c r="A160" s="80"/>
      <c r="D160" s="62"/>
    </row>
    <row r="161" ht="15.75" customHeight="1">
      <c r="A161" s="80"/>
      <c r="D161" s="62"/>
    </row>
    <row r="162" ht="15.75" customHeight="1">
      <c r="A162" s="80"/>
      <c r="D162" s="62"/>
    </row>
    <row r="163" ht="15.75" customHeight="1">
      <c r="A163" s="80"/>
      <c r="D163" s="62"/>
    </row>
    <row r="164" ht="15.75" customHeight="1">
      <c r="A164" s="80"/>
      <c r="D164" s="62"/>
    </row>
    <row r="165" ht="15.75" customHeight="1">
      <c r="A165" s="80"/>
      <c r="D165" s="62"/>
    </row>
    <row r="166" ht="15.75" customHeight="1">
      <c r="A166" s="80"/>
      <c r="D166" s="62"/>
    </row>
    <row r="167" ht="15.75" customHeight="1">
      <c r="A167" s="80"/>
      <c r="D167" s="62"/>
    </row>
    <row r="168" ht="15.75" customHeight="1">
      <c r="A168" s="80"/>
      <c r="D168" s="62"/>
    </row>
    <row r="169" ht="15.75" customHeight="1">
      <c r="A169" s="80"/>
      <c r="D169" s="62"/>
    </row>
    <row r="170" ht="15.75" customHeight="1">
      <c r="A170" s="80"/>
      <c r="D170" s="62"/>
    </row>
    <row r="171" ht="15.75" customHeight="1">
      <c r="A171" s="80"/>
      <c r="D171" s="62"/>
    </row>
    <row r="172" ht="15.75" customHeight="1">
      <c r="A172" s="80"/>
      <c r="D172" s="62"/>
    </row>
    <row r="173" ht="15.75" customHeight="1">
      <c r="A173" s="80"/>
      <c r="D173" s="62"/>
    </row>
    <row r="174" ht="15.75" customHeight="1">
      <c r="A174" s="80"/>
      <c r="D174" s="62"/>
    </row>
    <row r="175" ht="15.75" customHeight="1">
      <c r="A175" s="80"/>
      <c r="D175" s="62"/>
    </row>
    <row r="176" ht="15.75" customHeight="1">
      <c r="A176" s="80"/>
      <c r="D176" s="62"/>
    </row>
    <row r="177" ht="15.75" customHeight="1">
      <c r="A177" s="80"/>
      <c r="D177" s="62"/>
    </row>
    <row r="178" ht="15.75" customHeight="1">
      <c r="A178" s="80"/>
      <c r="D178" s="62"/>
    </row>
    <row r="179" ht="15.75" customHeight="1">
      <c r="A179" s="80"/>
      <c r="D179" s="62"/>
    </row>
    <row r="180" ht="15.75" customHeight="1">
      <c r="A180" s="80"/>
      <c r="D180" s="62"/>
    </row>
    <row r="181" ht="15.75" customHeight="1">
      <c r="A181" s="80"/>
      <c r="D181" s="62"/>
    </row>
    <row r="182" ht="15.75" customHeight="1">
      <c r="A182" s="80"/>
      <c r="D182" s="62"/>
    </row>
    <row r="183" ht="15.75" customHeight="1">
      <c r="A183" s="80"/>
      <c r="D183" s="62"/>
    </row>
    <row r="184" ht="15.75" customHeight="1">
      <c r="A184" s="80"/>
      <c r="D184" s="62"/>
    </row>
    <row r="185" ht="15.75" customHeight="1">
      <c r="A185" s="80"/>
      <c r="D185" s="62"/>
    </row>
    <row r="186" ht="15.75" customHeight="1">
      <c r="A186" s="80"/>
      <c r="D186" s="62"/>
    </row>
    <row r="187" ht="15.75" customHeight="1">
      <c r="A187" s="80"/>
      <c r="D187" s="62"/>
    </row>
    <row r="188" ht="15.75" customHeight="1">
      <c r="A188" s="80"/>
      <c r="D188" s="62"/>
    </row>
    <row r="189" ht="15.75" customHeight="1">
      <c r="A189" s="80"/>
      <c r="D189" s="62"/>
    </row>
    <row r="190" ht="15.75" customHeight="1">
      <c r="A190" s="80"/>
      <c r="D190" s="62"/>
    </row>
    <row r="191" ht="15.75" customHeight="1">
      <c r="A191" s="80"/>
      <c r="D191" s="62"/>
    </row>
    <row r="192" ht="15.75" customHeight="1">
      <c r="A192" s="80"/>
      <c r="D192" s="62"/>
    </row>
    <row r="193" ht="15.75" customHeight="1">
      <c r="A193" s="80"/>
      <c r="D193" s="62"/>
    </row>
    <row r="194" ht="15.75" customHeight="1">
      <c r="A194" s="80"/>
      <c r="D194" s="62"/>
    </row>
    <row r="195" ht="15.75" customHeight="1">
      <c r="A195" s="80"/>
      <c r="D195" s="62"/>
    </row>
    <row r="196" ht="15.75" customHeight="1">
      <c r="A196" s="80"/>
      <c r="D196" s="62"/>
    </row>
    <row r="197" ht="15.75" customHeight="1">
      <c r="A197" s="80"/>
      <c r="D197" s="62"/>
    </row>
    <row r="198" ht="15.75" customHeight="1">
      <c r="A198" s="80"/>
      <c r="D198" s="62"/>
    </row>
    <row r="199" ht="15.75" customHeight="1">
      <c r="A199" s="80"/>
      <c r="D199" s="62"/>
    </row>
    <row r="200" ht="15.75" customHeight="1">
      <c r="A200" s="80"/>
      <c r="D200" s="62"/>
    </row>
    <row r="201" ht="15.75" customHeight="1">
      <c r="A201" s="80"/>
      <c r="D201" s="62"/>
    </row>
    <row r="202" ht="15.75" customHeight="1">
      <c r="A202" s="80"/>
      <c r="D202" s="62"/>
    </row>
    <row r="203" ht="15.75" customHeight="1">
      <c r="A203" s="80"/>
      <c r="D203" s="62"/>
    </row>
    <row r="204" ht="15.75" customHeight="1">
      <c r="A204" s="80"/>
      <c r="D204" s="62"/>
    </row>
    <row r="205" ht="15.75" customHeight="1">
      <c r="A205" s="80"/>
      <c r="D205" s="62"/>
    </row>
    <row r="206" ht="15.75" customHeight="1">
      <c r="A206" s="80"/>
      <c r="D206" s="62"/>
    </row>
    <row r="207" ht="15.75" customHeight="1">
      <c r="A207" s="80"/>
      <c r="D207" s="62"/>
    </row>
    <row r="208" ht="15.75" customHeight="1">
      <c r="A208" s="80"/>
      <c r="D208" s="62"/>
    </row>
    <row r="209" ht="15.75" customHeight="1">
      <c r="A209" s="80"/>
      <c r="D209" s="62"/>
    </row>
    <row r="210" ht="15.75" customHeight="1">
      <c r="A210" s="80"/>
      <c r="D210" s="62"/>
    </row>
    <row r="211" ht="15.75" customHeight="1">
      <c r="A211" s="80"/>
      <c r="D211" s="62"/>
    </row>
    <row r="212" ht="15.75" customHeight="1">
      <c r="A212" s="80"/>
      <c r="D212" s="62"/>
    </row>
    <row r="213" ht="15.75" customHeight="1">
      <c r="A213" s="80"/>
      <c r="D213" s="62"/>
    </row>
    <row r="214" ht="15.75" customHeight="1">
      <c r="A214" s="80"/>
      <c r="D214" s="62"/>
    </row>
    <row r="215" ht="15.75" customHeight="1">
      <c r="A215" s="80"/>
      <c r="D215" s="62"/>
    </row>
    <row r="216" ht="15.75" customHeight="1">
      <c r="A216" s="80"/>
      <c r="D216" s="62"/>
    </row>
    <row r="217" ht="15.75" customHeight="1">
      <c r="A217" s="80"/>
      <c r="D217" s="62"/>
    </row>
    <row r="218" ht="15.75" customHeight="1">
      <c r="A218" s="80"/>
      <c r="D218" s="62"/>
    </row>
    <row r="219" ht="15.75" customHeight="1">
      <c r="A219" s="80"/>
      <c r="D219" s="62"/>
    </row>
    <row r="220" ht="15.75" customHeight="1">
      <c r="A220" s="80"/>
      <c r="D220" s="62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E2">
    <cfRule type="cellIs" dxfId="3" priority="1" operator="greaterThan">
      <formula>95%</formula>
    </cfRule>
  </conditionalFormatting>
  <conditionalFormatting sqref="E2">
    <cfRule type="cellIs" dxfId="2" priority="2" operator="greaterThan">
      <formula>85%</formula>
    </cfRule>
  </conditionalFormatting>
  <conditionalFormatting sqref="E2">
    <cfRule type="cellIs" dxfId="4" priority="3" operator="greaterThan">
      <formula>75%</formula>
    </cfRule>
  </conditionalFormatting>
  <conditionalFormatting sqref="E2">
    <cfRule type="cellIs" dxfId="5" priority="4" operator="greaterThan">
      <formula>70%</formula>
    </cfRule>
  </conditionalFormatting>
  <conditionalFormatting sqref="E2">
    <cfRule type="cellIs" dxfId="0" priority="5" operator="lessThanOrEqual">
      <formula>70%</formula>
    </cfRule>
  </conditionalFormatting>
  <dataValidations>
    <dataValidation type="custom" allowBlank="1" showInputMessage="1" showErrorMessage="1" prompt="Fecha de Status del Proyecto - Debe ser una Fecha con día de Lunes a Viernes" sqref="A2">
      <formula1>AND(WEEKDAY(A2,11)&lt;&gt;6,WEEKDAY(A2,11)&lt;&gt;7)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0.1" defaultRowHeight="15.0"/>
  <cols>
    <col customWidth="1" min="1" max="1" width="38.2"/>
    <col customWidth="1" min="2" max="2" width="21.8"/>
    <col customWidth="1" min="3" max="3" width="13.3"/>
  </cols>
  <sheetData>
    <row r="1" ht="21.75" customHeight="1">
      <c r="A1" s="81" t="s">
        <v>3</v>
      </c>
      <c r="B1" s="82" t="s">
        <v>85</v>
      </c>
      <c r="C1" s="83"/>
      <c r="D1" s="83"/>
    </row>
    <row r="2">
      <c r="A2" s="84" t="s">
        <v>86</v>
      </c>
      <c r="B2" s="85">
        <v>14375.0</v>
      </c>
      <c r="C2" s="83"/>
      <c r="D2" s="83"/>
    </row>
    <row r="3">
      <c r="A3" s="84" t="s">
        <v>87</v>
      </c>
      <c r="B3" s="86">
        <v>20625.0</v>
      </c>
      <c r="C3" s="83"/>
      <c r="D3" s="83"/>
    </row>
    <row r="4">
      <c r="A4" s="84" t="s">
        <v>88</v>
      </c>
      <c r="B4" s="86">
        <v>35000.0</v>
      </c>
      <c r="C4" s="83"/>
      <c r="D4" s="83"/>
    </row>
    <row r="5">
      <c r="A5" s="84" t="s">
        <v>89</v>
      </c>
      <c r="B5" s="85">
        <v>13750.0</v>
      </c>
      <c r="C5" s="83"/>
      <c r="D5" s="83"/>
    </row>
    <row r="6">
      <c r="A6" s="84" t="s">
        <v>90</v>
      </c>
      <c r="B6" s="86">
        <v>3125.0</v>
      </c>
      <c r="C6" s="83"/>
      <c r="D6" s="83"/>
    </row>
    <row r="7">
      <c r="A7" s="84" t="s">
        <v>91</v>
      </c>
      <c r="B7" s="86">
        <f>SUM(B2:B6)*0.15</f>
        <v>13031.25</v>
      </c>
      <c r="C7" s="83"/>
      <c r="D7" s="83"/>
    </row>
    <row r="8" ht="35.25" customHeight="1">
      <c r="A8" s="87" t="s">
        <v>92</v>
      </c>
      <c r="B8" s="88">
        <f>SUM(B2:B6)+B7</f>
        <v>99906.25</v>
      </c>
      <c r="D8" s="83"/>
    </row>
    <row r="9">
      <c r="A9" s="89"/>
      <c r="B9" s="90"/>
      <c r="C9" s="83"/>
      <c r="D9" s="83"/>
    </row>
    <row r="10">
      <c r="A10" s="91"/>
      <c r="B10" s="92"/>
      <c r="C10" s="83"/>
      <c r="D10" s="83"/>
    </row>
    <row r="11">
      <c r="A11" s="91"/>
      <c r="B11" s="92"/>
      <c r="C11" s="83"/>
      <c r="D11" s="83"/>
    </row>
    <row r="12">
      <c r="A12" s="91"/>
      <c r="B12" s="92"/>
      <c r="C12" s="83"/>
      <c r="D12" s="83"/>
    </row>
    <row r="13">
      <c r="A13" s="83"/>
      <c r="B13" s="83"/>
      <c r="C13" s="83"/>
      <c r="D13" s="83"/>
    </row>
    <row r="14">
      <c r="A14" s="83"/>
      <c r="B14" s="83"/>
      <c r="C14" s="83"/>
      <c r="D14" s="83"/>
    </row>
    <row r="15">
      <c r="A15" s="83"/>
      <c r="B15" s="83"/>
      <c r="C15" s="83"/>
      <c r="D15" s="83"/>
    </row>
    <row r="16">
      <c r="A16" s="83"/>
      <c r="B16" s="83"/>
      <c r="C16" s="83"/>
      <c r="D16" s="83"/>
    </row>
    <row r="17">
      <c r="A17" s="83"/>
      <c r="B17" s="83"/>
      <c r="C17" s="83"/>
      <c r="D17" s="83"/>
    </row>
    <row r="18">
      <c r="A18" s="83"/>
      <c r="B18" s="83"/>
      <c r="C18" s="83"/>
      <c r="D18" s="83"/>
    </row>
    <row r="19">
      <c r="A19" s="83"/>
      <c r="B19" s="83"/>
      <c r="C19" s="83"/>
      <c r="D19" s="83"/>
    </row>
    <row r="20">
      <c r="A20" s="83"/>
      <c r="B20" s="83"/>
      <c r="C20" s="83"/>
      <c r="D20" s="83"/>
    </row>
    <row r="21">
      <c r="A21" s="83"/>
      <c r="B21" s="83"/>
      <c r="C21" s="83"/>
      <c r="D21" s="83"/>
    </row>
    <row r="22">
      <c r="A22" s="83"/>
      <c r="B22" s="83"/>
      <c r="C22" s="83"/>
      <c r="D22" s="83"/>
    </row>
    <row r="23">
      <c r="A23" s="83"/>
      <c r="B23" s="83"/>
      <c r="C23" s="83"/>
      <c r="D23" s="83"/>
    </row>
    <row r="24">
      <c r="A24" s="83"/>
      <c r="B24" s="83"/>
      <c r="C24" s="83"/>
      <c r="D24" s="83"/>
    </row>
    <row r="25">
      <c r="A25" s="83"/>
      <c r="B25" s="83"/>
      <c r="C25" s="83"/>
      <c r="D25" s="83"/>
    </row>
    <row r="26">
      <c r="A26" s="83"/>
      <c r="B26" s="83"/>
      <c r="C26" s="83"/>
      <c r="D26" s="83"/>
    </row>
    <row r="27">
      <c r="A27" s="83"/>
      <c r="B27" s="83"/>
      <c r="C27" s="83"/>
      <c r="D27" s="83"/>
    </row>
    <row r="28">
      <c r="A28" s="83"/>
      <c r="B28" s="83"/>
      <c r="C28" s="83"/>
      <c r="D28" s="83"/>
    </row>
    <row r="29">
      <c r="A29" s="83"/>
      <c r="B29" s="83"/>
      <c r="C29" s="83"/>
      <c r="D29" s="83"/>
    </row>
    <row r="30">
      <c r="A30" s="83"/>
      <c r="B30" s="83"/>
      <c r="C30" s="83"/>
      <c r="D30" s="83"/>
    </row>
    <row r="31">
      <c r="A31" s="83"/>
      <c r="B31" s="83"/>
      <c r="C31" s="83"/>
      <c r="D31" s="83"/>
    </row>
    <row r="32">
      <c r="A32" s="83"/>
      <c r="B32" s="83"/>
      <c r="C32" s="83"/>
      <c r="D32" s="83"/>
    </row>
    <row r="33">
      <c r="A33" s="83"/>
      <c r="B33" s="83"/>
      <c r="C33" s="83"/>
      <c r="D33" s="83"/>
    </row>
    <row r="34">
      <c r="A34" s="83"/>
      <c r="B34" s="83"/>
      <c r="C34" s="83"/>
      <c r="D34" s="83"/>
    </row>
    <row r="35">
      <c r="A35" s="83"/>
      <c r="B35" s="83"/>
      <c r="C35" s="83"/>
      <c r="D35" s="83"/>
    </row>
    <row r="36">
      <c r="A36" s="83"/>
      <c r="B36" s="83"/>
      <c r="C36" s="83"/>
      <c r="D36" s="83"/>
    </row>
    <row r="37">
      <c r="A37" s="83"/>
      <c r="B37" s="83"/>
      <c r="C37" s="83"/>
      <c r="D37" s="83"/>
    </row>
    <row r="38">
      <c r="A38" s="83"/>
      <c r="B38" s="83"/>
      <c r="C38" s="83"/>
      <c r="D38" s="83"/>
    </row>
    <row r="39">
      <c r="A39" s="83"/>
      <c r="B39" s="83"/>
      <c r="C39" s="83"/>
      <c r="D39" s="83"/>
    </row>
    <row r="40">
      <c r="A40" s="83"/>
      <c r="B40" s="83"/>
      <c r="C40" s="83"/>
      <c r="D40" s="83"/>
    </row>
    <row r="41">
      <c r="A41" s="83"/>
      <c r="B41" s="83"/>
      <c r="C41" s="83"/>
      <c r="D41" s="83"/>
    </row>
    <row r="42">
      <c r="A42" s="83"/>
      <c r="B42" s="83"/>
      <c r="C42" s="83"/>
      <c r="D42" s="83"/>
    </row>
    <row r="43">
      <c r="A43" s="83"/>
      <c r="B43" s="83"/>
      <c r="C43" s="83"/>
      <c r="D43" s="83"/>
    </row>
    <row r="44">
      <c r="A44" s="83"/>
      <c r="B44" s="83"/>
      <c r="C44" s="83"/>
      <c r="D44" s="83"/>
    </row>
    <row r="45">
      <c r="A45" s="83"/>
      <c r="B45" s="83"/>
      <c r="C45" s="83"/>
      <c r="D45" s="83"/>
    </row>
    <row r="46">
      <c r="C46" s="83"/>
      <c r="D46" s="83"/>
    </row>
    <row r="47">
      <c r="D47" s="83"/>
    </row>
    <row r="48">
      <c r="D48" s="83"/>
    </row>
    <row r="49">
      <c r="D49" s="83"/>
    </row>
    <row r="50">
      <c r="D50" s="83"/>
    </row>
  </sheetData>
  <dataValidations>
    <dataValidation type="custom" allowBlank="1" showDropDown="1" sqref="B2:B8">
      <formula1>AND(ISNUMBER(B2),(NOT(OR(NOT(ISERROR(DATEVALUE(B2))), AND(ISNUMBER(B2), LEFT(CELL("format", B2))="D")))))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38.2"/>
    <col customWidth="1" min="2" max="2" width="14.5"/>
    <col customWidth="1" min="3" max="3" width="13.3"/>
  </cols>
  <sheetData>
    <row r="1" ht="30.0" customHeight="1">
      <c r="A1" s="93" t="s">
        <v>3</v>
      </c>
      <c r="B1" s="94" t="s">
        <v>93</v>
      </c>
      <c r="C1" s="93" t="s">
        <v>94</v>
      </c>
      <c r="D1" s="93" t="s">
        <v>95</v>
      </c>
    </row>
    <row r="2">
      <c r="A2" s="95" t="s">
        <v>12</v>
      </c>
      <c r="B2" s="96">
        <v>156.25</v>
      </c>
      <c r="C2" s="97">
        <v>8.0</v>
      </c>
      <c r="D2" s="98">
        <f t="shared" ref="D2:D39" si="1">B2*C2</f>
        <v>1250</v>
      </c>
    </row>
    <row r="3">
      <c r="A3" s="95" t="s">
        <v>13</v>
      </c>
      <c r="B3" s="96">
        <v>156.25</v>
      </c>
      <c r="C3" s="97">
        <v>28.0</v>
      </c>
      <c r="D3" s="98">
        <f t="shared" si="1"/>
        <v>4375</v>
      </c>
    </row>
    <row r="4">
      <c r="A4" s="95" t="s">
        <v>14</v>
      </c>
      <c r="B4" s="96">
        <v>156.25</v>
      </c>
      <c r="C4" s="97">
        <v>8.0</v>
      </c>
      <c r="D4" s="98">
        <f t="shared" si="1"/>
        <v>1250</v>
      </c>
    </row>
    <row r="5">
      <c r="A5" s="95" t="s">
        <v>15</v>
      </c>
      <c r="B5" s="96">
        <v>156.25</v>
      </c>
      <c r="C5" s="97">
        <v>12.0</v>
      </c>
      <c r="D5" s="98">
        <f t="shared" si="1"/>
        <v>1875</v>
      </c>
    </row>
    <row r="6">
      <c r="A6" s="95" t="s">
        <v>16</v>
      </c>
      <c r="B6" s="96">
        <v>156.25</v>
      </c>
      <c r="C6" s="97">
        <v>12.0</v>
      </c>
      <c r="D6" s="98">
        <f t="shared" si="1"/>
        <v>1875</v>
      </c>
    </row>
    <row r="7">
      <c r="A7" s="95" t="s">
        <v>18</v>
      </c>
      <c r="B7" s="96">
        <v>156.25</v>
      </c>
      <c r="C7" s="97">
        <v>24.0</v>
      </c>
      <c r="D7" s="98">
        <f t="shared" si="1"/>
        <v>3750</v>
      </c>
      <c r="E7" s="99">
        <f>SUM(D2:D7)</f>
        <v>14375</v>
      </c>
    </row>
    <row r="8">
      <c r="A8" s="95" t="s">
        <v>20</v>
      </c>
      <c r="B8" s="96">
        <v>156.25</v>
      </c>
      <c r="C8" s="97">
        <v>12.0</v>
      </c>
      <c r="D8" s="98">
        <f t="shared" si="1"/>
        <v>1875</v>
      </c>
    </row>
    <row r="9">
      <c r="A9" s="100" t="s">
        <v>25</v>
      </c>
      <c r="B9" s="96">
        <v>156.25</v>
      </c>
      <c r="C9" s="97">
        <v>8.0</v>
      </c>
      <c r="D9" s="98">
        <f t="shared" si="1"/>
        <v>1250</v>
      </c>
    </row>
    <row r="10">
      <c r="A10" s="95" t="s">
        <v>28</v>
      </c>
      <c r="B10" s="96">
        <v>156.25</v>
      </c>
      <c r="C10" s="97">
        <v>8.0</v>
      </c>
      <c r="D10" s="98">
        <f t="shared" si="1"/>
        <v>1250</v>
      </c>
    </row>
    <row r="11">
      <c r="A11" s="95" t="s">
        <v>30</v>
      </c>
      <c r="B11" s="96">
        <v>156.25</v>
      </c>
      <c r="C11" s="97">
        <v>8.0</v>
      </c>
      <c r="D11" s="98">
        <f t="shared" si="1"/>
        <v>1250</v>
      </c>
    </row>
    <row r="12">
      <c r="A12" s="100" t="s">
        <v>32</v>
      </c>
      <c r="B12" s="96">
        <v>156.25</v>
      </c>
      <c r="C12" s="97">
        <v>8.0</v>
      </c>
      <c r="D12" s="98">
        <f t="shared" si="1"/>
        <v>1250</v>
      </c>
    </row>
    <row r="13">
      <c r="A13" s="95" t="s">
        <v>34</v>
      </c>
      <c r="B13" s="96">
        <v>156.25</v>
      </c>
      <c r="C13" s="97">
        <v>8.0</v>
      </c>
      <c r="D13" s="98">
        <f t="shared" si="1"/>
        <v>1250</v>
      </c>
    </row>
    <row r="14">
      <c r="A14" s="100" t="s">
        <v>36</v>
      </c>
      <c r="B14" s="96">
        <v>156.25</v>
      </c>
      <c r="C14" s="97">
        <v>8.0</v>
      </c>
      <c r="D14" s="98">
        <f t="shared" si="1"/>
        <v>1250</v>
      </c>
      <c r="E14" s="99">
        <f>SUM(D2:D24)</f>
        <v>51250</v>
      </c>
    </row>
    <row r="15">
      <c r="A15" s="100" t="s">
        <v>38</v>
      </c>
      <c r="B15" s="96">
        <v>156.25</v>
      </c>
      <c r="C15" s="97">
        <v>8.0</v>
      </c>
      <c r="D15" s="98">
        <f t="shared" si="1"/>
        <v>1250</v>
      </c>
    </row>
    <row r="16">
      <c r="A16" s="100" t="s">
        <v>40</v>
      </c>
      <c r="B16" s="96">
        <v>156.25</v>
      </c>
      <c r="C16" s="97">
        <v>16.0</v>
      </c>
      <c r="D16" s="98">
        <f t="shared" si="1"/>
        <v>2500</v>
      </c>
    </row>
    <row r="17">
      <c r="A17" s="100" t="s">
        <v>42</v>
      </c>
      <c r="B17" s="96">
        <v>156.25</v>
      </c>
      <c r="C17" s="97">
        <v>8.0</v>
      </c>
      <c r="D17" s="98">
        <f t="shared" si="1"/>
        <v>1250</v>
      </c>
    </row>
    <row r="18">
      <c r="A18" s="95" t="s">
        <v>44</v>
      </c>
      <c r="B18" s="96">
        <v>156.25</v>
      </c>
      <c r="C18" s="97">
        <v>8.0</v>
      </c>
      <c r="D18" s="98">
        <f t="shared" si="1"/>
        <v>1250</v>
      </c>
    </row>
    <row r="19">
      <c r="A19" s="100" t="s">
        <v>46</v>
      </c>
      <c r="B19" s="96">
        <v>156.25</v>
      </c>
      <c r="C19" s="97">
        <v>8.0</v>
      </c>
      <c r="D19" s="98">
        <f t="shared" si="1"/>
        <v>1250</v>
      </c>
      <c r="E19" s="99">
        <f>SUM(D8:D19)</f>
        <v>16875</v>
      </c>
    </row>
    <row r="20">
      <c r="A20" s="95" t="s">
        <v>48</v>
      </c>
      <c r="B20" s="96">
        <v>156.25</v>
      </c>
      <c r="C20" s="97">
        <v>24.0</v>
      </c>
      <c r="D20" s="98">
        <f t="shared" si="1"/>
        <v>3750</v>
      </c>
    </row>
    <row r="21">
      <c r="A21" s="100" t="s">
        <v>50</v>
      </c>
      <c r="B21" s="96">
        <v>156.25</v>
      </c>
      <c r="C21" s="97">
        <v>52.0</v>
      </c>
      <c r="D21" s="98">
        <f t="shared" si="1"/>
        <v>8125</v>
      </c>
    </row>
    <row r="22">
      <c r="A22" s="100" t="s">
        <v>25</v>
      </c>
      <c r="B22" s="96">
        <v>156.25</v>
      </c>
      <c r="C22" s="97">
        <v>20.0</v>
      </c>
      <c r="D22" s="98">
        <f t="shared" si="1"/>
        <v>3125</v>
      </c>
    </row>
    <row r="23">
      <c r="A23" s="95" t="s">
        <v>28</v>
      </c>
      <c r="B23" s="96">
        <v>156.25</v>
      </c>
      <c r="C23" s="97">
        <v>12.0</v>
      </c>
      <c r="D23" s="98">
        <f t="shared" si="1"/>
        <v>1875</v>
      </c>
    </row>
    <row r="24">
      <c r="A24" s="95" t="s">
        <v>30</v>
      </c>
      <c r="B24" s="96">
        <v>156.25</v>
      </c>
      <c r="C24" s="97">
        <v>20.0</v>
      </c>
      <c r="D24" s="98">
        <f t="shared" si="1"/>
        <v>3125</v>
      </c>
    </row>
    <row r="25">
      <c r="A25" s="100" t="s">
        <v>32</v>
      </c>
      <c r="B25" s="96">
        <v>156.25</v>
      </c>
      <c r="C25" s="97">
        <v>12.0</v>
      </c>
      <c r="D25" s="98">
        <f t="shared" si="1"/>
        <v>1875</v>
      </c>
    </row>
    <row r="26">
      <c r="A26" s="100" t="s">
        <v>34</v>
      </c>
      <c r="B26" s="96">
        <v>156.25</v>
      </c>
      <c r="C26" s="97">
        <v>20.0</v>
      </c>
      <c r="D26" s="98">
        <f t="shared" si="1"/>
        <v>3125</v>
      </c>
    </row>
    <row r="27">
      <c r="A27" s="100" t="s">
        <v>36</v>
      </c>
      <c r="B27" s="96">
        <v>156.25</v>
      </c>
      <c r="C27" s="97">
        <v>12.0</v>
      </c>
      <c r="D27" s="98">
        <f t="shared" si="1"/>
        <v>1875</v>
      </c>
    </row>
    <row r="28">
      <c r="A28" s="100" t="s">
        <v>38</v>
      </c>
      <c r="B28" s="96">
        <v>156.25</v>
      </c>
      <c r="C28" s="97">
        <v>20.0</v>
      </c>
      <c r="D28" s="98">
        <f t="shared" si="1"/>
        <v>3125</v>
      </c>
    </row>
    <row r="29">
      <c r="A29" s="100" t="s">
        <v>40</v>
      </c>
      <c r="B29" s="96">
        <v>156.25</v>
      </c>
      <c r="C29" s="97">
        <v>12.0</v>
      </c>
      <c r="D29" s="98">
        <f t="shared" si="1"/>
        <v>1875</v>
      </c>
    </row>
    <row r="30">
      <c r="A30" s="100" t="s">
        <v>42</v>
      </c>
      <c r="B30" s="96">
        <v>156.25</v>
      </c>
      <c r="C30" s="97">
        <v>12.0</v>
      </c>
      <c r="D30" s="98">
        <f t="shared" si="1"/>
        <v>1875</v>
      </c>
    </row>
    <row r="31">
      <c r="A31" s="95" t="s">
        <v>44</v>
      </c>
      <c r="B31" s="96">
        <v>156.25</v>
      </c>
      <c r="C31" s="97">
        <v>20.0</v>
      </c>
      <c r="D31" s="98">
        <f t="shared" si="1"/>
        <v>3125</v>
      </c>
    </row>
    <row r="32">
      <c r="A32" s="100" t="s">
        <v>46</v>
      </c>
      <c r="B32" s="96">
        <v>156.25</v>
      </c>
      <c r="C32" s="97">
        <v>12.0</v>
      </c>
      <c r="D32" s="98">
        <f t="shared" si="1"/>
        <v>1875</v>
      </c>
      <c r="E32" s="99">
        <f>SUM(D20:D32)</f>
        <v>38750</v>
      </c>
    </row>
    <row r="33">
      <c r="A33" s="100" t="s">
        <v>96</v>
      </c>
      <c r="B33" s="96">
        <v>156.25</v>
      </c>
      <c r="C33" s="97">
        <v>12.0</v>
      </c>
      <c r="D33" s="98">
        <f t="shared" si="1"/>
        <v>1875</v>
      </c>
    </row>
    <row r="34">
      <c r="A34" s="100" t="s">
        <v>97</v>
      </c>
      <c r="B34" s="96">
        <v>156.25</v>
      </c>
      <c r="C34" s="97">
        <v>12.0</v>
      </c>
      <c r="D34" s="98">
        <f t="shared" si="1"/>
        <v>1875</v>
      </c>
    </row>
    <row r="35">
      <c r="A35" s="100" t="s">
        <v>98</v>
      </c>
      <c r="B35" s="96">
        <v>156.25</v>
      </c>
      <c r="C35" s="97">
        <v>20.0</v>
      </c>
      <c r="D35" s="98">
        <f t="shared" si="1"/>
        <v>3125</v>
      </c>
    </row>
    <row r="36">
      <c r="A36" s="100" t="s">
        <v>99</v>
      </c>
      <c r="B36" s="96">
        <v>156.25</v>
      </c>
      <c r="C36" s="97">
        <v>12.0</v>
      </c>
      <c r="D36" s="98">
        <f t="shared" si="1"/>
        <v>1875</v>
      </c>
    </row>
    <row r="37">
      <c r="A37" s="100" t="s">
        <v>100</v>
      </c>
      <c r="B37" s="96">
        <v>156.25</v>
      </c>
      <c r="C37" s="97">
        <v>20.0</v>
      </c>
      <c r="D37" s="98">
        <f t="shared" si="1"/>
        <v>3125</v>
      </c>
      <c r="E37" s="99">
        <f>SUM(D33:D38)</f>
        <v>13750</v>
      </c>
    </row>
    <row r="38">
      <c r="A38" s="95" t="s">
        <v>73</v>
      </c>
      <c r="B38" s="96">
        <v>156.25</v>
      </c>
      <c r="C38" s="97">
        <v>12.0</v>
      </c>
      <c r="D38" s="98">
        <f t="shared" si="1"/>
        <v>1875</v>
      </c>
    </row>
    <row r="39">
      <c r="A39" s="100" t="s">
        <v>101</v>
      </c>
      <c r="B39" s="96">
        <v>156.25</v>
      </c>
      <c r="C39" s="97">
        <v>20.0</v>
      </c>
      <c r="D39" s="98">
        <f t="shared" si="1"/>
        <v>3125</v>
      </c>
    </row>
    <row r="40">
      <c r="A40" s="83"/>
      <c r="B40" s="83"/>
      <c r="C40" s="101" t="s">
        <v>102</v>
      </c>
      <c r="D40" s="102">
        <f>SUM(D2:D39)</f>
        <v>86875</v>
      </c>
    </row>
    <row r="41">
      <c r="A41" s="83"/>
      <c r="B41" s="83"/>
      <c r="C41" s="103" t="s">
        <v>91</v>
      </c>
      <c r="D41" s="102">
        <f>(D40/100)*15</f>
        <v>13031.25</v>
      </c>
    </row>
    <row r="42">
      <c r="A42" s="83"/>
      <c r="B42" s="83"/>
      <c r="C42" s="101" t="s">
        <v>103</v>
      </c>
      <c r="D42" s="102">
        <f>SUM(D40:D41)</f>
        <v>99906.25</v>
      </c>
    </row>
  </sheetData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0.1" defaultRowHeight="15.0"/>
  <cols>
    <col customWidth="1" min="1" max="1" width="48.8"/>
    <col customWidth="1" min="2" max="2" width="12.6"/>
    <col customWidth="1" min="3" max="3" width="11.1"/>
    <col customWidth="1" min="4" max="4" width="11.0"/>
    <col customWidth="1" min="5" max="5" width="14.3"/>
  </cols>
  <sheetData>
    <row r="1" ht="39.0" customHeight="1">
      <c r="A1" s="104" t="s">
        <v>104</v>
      </c>
      <c r="B1" s="104" t="s">
        <v>105</v>
      </c>
      <c r="C1" s="104" t="s">
        <v>106</v>
      </c>
      <c r="D1" s="104" t="s">
        <v>107</v>
      </c>
      <c r="E1" s="104" t="s">
        <v>108</v>
      </c>
    </row>
    <row r="2">
      <c r="A2" s="105" t="s">
        <v>109</v>
      </c>
      <c r="B2" s="105" t="s">
        <v>110</v>
      </c>
      <c r="C2" s="105" t="s">
        <v>110</v>
      </c>
      <c r="D2" s="105" t="s">
        <v>111</v>
      </c>
      <c r="E2" s="105" t="s">
        <v>112</v>
      </c>
      <c r="I2" s="106"/>
      <c r="J2" s="106"/>
      <c r="K2" s="106"/>
      <c r="L2" s="106"/>
      <c r="M2" s="106"/>
    </row>
    <row r="3">
      <c r="A3" s="105" t="s">
        <v>113</v>
      </c>
      <c r="B3" s="105" t="s">
        <v>110</v>
      </c>
      <c r="C3" s="105" t="s">
        <v>110</v>
      </c>
      <c r="D3" s="105" t="s">
        <v>111</v>
      </c>
      <c r="E3" s="105" t="s">
        <v>114</v>
      </c>
    </row>
    <row r="4">
      <c r="A4" s="105" t="s">
        <v>115</v>
      </c>
      <c r="B4" s="105" t="s">
        <v>110</v>
      </c>
      <c r="C4" s="105" t="s">
        <v>116</v>
      </c>
      <c r="D4" s="105" t="s">
        <v>117</v>
      </c>
      <c r="E4" s="105" t="s">
        <v>118</v>
      </c>
    </row>
    <row r="5">
      <c r="A5" s="105" t="s">
        <v>119</v>
      </c>
      <c r="B5" s="105" t="s">
        <v>120</v>
      </c>
      <c r="C5" s="105" t="s">
        <v>116</v>
      </c>
      <c r="D5" s="105" t="s">
        <v>121</v>
      </c>
      <c r="E5" s="105" t="s">
        <v>122</v>
      </c>
    </row>
    <row r="6">
      <c r="A6" s="105" t="s">
        <v>123</v>
      </c>
      <c r="B6" s="105" t="s">
        <v>110</v>
      </c>
      <c r="C6" s="105" t="s">
        <v>110</v>
      </c>
      <c r="D6" s="105" t="s">
        <v>124</v>
      </c>
      <c r="E6" s="105" t="s">
        <v>122</v>
      </c>
    </row>
    <row r="7">
      <c r="A7" s="105" t="s">
        <v>125</v>
      </c>
      <c r="B7" s="105" t="s">
        <v>110</v>
      </c>
      <c r="C7" s="105" t="s">
        <v>120</v>
      </c>
      <c r="D7" s="105" t="s">
        <v>111</v>
      </c>
      <c r="E7" s="105" t="s">
        <v>112</v>
      </c>
    </row>
    <row r="8">
      <c r="A8" s="105" t="s">
        <v>126</v>
      </c>
      <c r="B8" s="105" t="s">
        <v>110</v>
      </c>
      <c r="C8" s="105" t="s">
        <v>110</v>
      </c>
      <c r="D8" s="105" t="s">
        <v>111</v>
      </c>
      <c r="E8" s="105" t="s">
        <v>122</v>
      </c>
    </row>
    <row r="9">
      <c r="A9" s="105" t="s">
        <v>127</v>
      </c>
      <c r="B9" s="105" t="s">
        <v>110</v>
      </c>
      <c r="C9" s="105" t="s">
        <v>110</v>
      </c>
      <c r="D9" s="105" t="s">
        <v>111</v>
      </c>
      <c r="E9" s="105" t="s">
        <v>118</v>
      </c>
    </row>
    <row r="10">
      <c r="A10" s="105" t="s">
        <v>128</v>
      </c>
      <c r="B10" s="105" t="s">
        <v>120</v>
      </c>
      <c r="C10" s="105" t="s">
        <v>129</v>
      </c>
      <c r="D10" s="105" t="s">
        <v>124</v>
      </c>
      <c r="E10" s="105" t="s">
        <v>122</v>
      </c>
    </row>
    <row r="11">
      <c r="A11" s="105" t="s">
        <v>130</v>
      </c>
      <c r="B11" s="105" t="s">
        <v>120</v>
      </c>
      <c r="C11" s="105" t="s">
        <v>120</v>
      </c>
      <c r="D11" s="105" t="s">
        <v>124</v>
      </c>
      <c r="E11" s="105" t="s">
        <v>122</v>
      </c>
    </row>
  </sheetData>
  <autoFilter ref="$A$1:$E$11"/>
  <drawing r:id="rId1"/>
</worksheet>
</file>